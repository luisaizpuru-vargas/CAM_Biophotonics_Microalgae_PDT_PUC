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Figure_3" sheetId="1" state="visible" r:id="rId3"/>
    <sheet name="Figure_4" sheetId="2" state="visible" r:id="rId4"/>
    <sheet name="Figure_5a" sheetId="3" state="visible" r:id="rId5"/>
    <sheet name="Figure_5b" sheetId="4" state="visible" r:id="rId6"/>
    <sheet name="P-Value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<sst xmlns="http://schemas.openxmlformats.org/spreadsheetml/2006/main" count="537" uniqueCount="84">
  <si>
    <t xml:space="preserve">MB + Light</t>
  </si>
  <si>
    <t xml:space="preserve">Egg 1</t>
  </si>
  <si>
    <t xml:space="preserve">Egg 2</t>
  </si>
  <si>
    <t xml:space="preserve">Egg 3</t>
  </si>
  <si>
    <t xml:space="preserve">Egg 4</t>
  </si>
  <si>
    <t xml:space="preserve">Egg 5</t>
  </si>
  <si>
    <t xml:space="preserve">Egg 6</t>
  </si>
  <si>
    <t xml:space="preserve">Egg 7</t>
  </si>
  <si>
    <t xml:space="preserve">Egg 8</t>
  </si>
  <si>
    <t xml:space="preserve">Egg 9</t>
  </si>
  <si>
    <t xml:space="preserve">Average</t>
  </si>
  <si>
    <t xml:space="preserve">Error</t>
  </si>
  <si>
    <t xml:space="preserve">Normalized Average</t>
  </si>
  <si>
    <t xml:space="preserve">Normalized Error</t>
  </si>
  <si>
    <t xml:space="preserve">Before</t>
  </si>
  <si>
    <t xml:space="preserve">After</t>
  </si>
  <si>
    <t xml:space="preserve">30 mins</t>
  </si>
  <si>
    <t xml:space="preserve">1.5 hrs</t>
  </si>
  <si>
    <t xml:space="preserve">7 hrs</t>
  </si>
  <si>
    <t xml:space="preserve">XX</t>
  </si>
  <si>
    <t xml:space="preserve">24 hrs</t>
  </si>
  <si>
    <t xml:space="preserve">Only Light</t>
  </si>
  <si>
    <t xml:space="preserve">Only MB</t>
  </si>
  <si>
    <t xml:space="preserve">Control</t>
  </si>
  <si>
    <t xml:space="preserve">Algae + Light</t>
  </si>
  <si>
    <t xml:space="preserve">Egg 10</t>
  </si>
  <si>
    <t xml:space="preserve">Egg 11</t>
  </si>
  <si>
    <t xml:space="preserve">Egg 12</t>
  </si>
  <si>
    <t xml:space="preserve">Egg 13</t>
  </si>
  <si>
    <t xml:space="preserve">Egg 14</t>
  </si>
  <si>
    <t xml:space="preserve">Egg 15</t>
  </si>
  <si>
    <t xml:space="preserve">Egg 16</t>
  </si>
  <si>
    <t xml:space="preserve">z</t>
  </si>
  <si>
    <t xml:space="preserve">Only Algae</t>
  </si>
  <si>
    <t xml:space="preserve">Scenario a</t>
  </si>
  <si>
    <t xml:space="preserve">Scenario b</t>
  </si>
  <si>
    <t xml:space="preserve">Scenario c</t>
  </si>
  <si>
    <t xml:space="preserve">MB + Light (High Concentration)</t>
  </si>
  <si>
    <t xml:space="preserve">MB + Light (Low Concentration)</t>
  </si>
  <si>
    <t xml:space="preserve">Scenario b (High Concentration)</t>
  </si>
  <si>
    <t xml:space="preserve">Scenario b (Low Concentration)</t>
  </si>
  <si>
    <t xml:space="preserve">Figure 3</t>
  </si>
  <si>
    <t xml:space="preserve">****</t>
  </si>
  <si>
    <t xml:space="preserve">Error Control</t>
  </si>
  <si>
    <t xml:space="preserve">***</t>
  </si>
  <si>
    <t xml:space="preserve">**</t>
  </si>
  <si>
    <t xml:space="preserve">*</t>
  </si>
  <si>
    <t xml:space="preserve">ns</t>
  </si>
  <si>
    <t xml:space="preserve">none</t>
  </si>
  <si>
    <t xml:space="preserve">Error Only Light</t>
  </si>
  <si>
    <t xml:space="preserve">Control vs Only Light (p-value)</t>
  </si>
  <si>
    <t xml:space="preserve">Error MB</t>
  </si>
  <si>
    <t xml:space="preserve">Control vs Only MB (p-value)</t>
  </si>
  <si>
    <t xml:space="preserve">PDT</t>
  </si>
  <si>
    <t xml:space="preserve">Error PDT</t>
  </si>
  <si>
    <t xml:space="preserve">Control vs PDT (p-value)</t>
  </si>
  <si>
    <t xml:space="preserve">Figure 4</t>
  </si>
  <si>
    <t xml:space="preserve">Error Only Algae</t>
  </si>
  <si>
    <t xml:space="preserve">Control vs Only Algae (p-value)</t>
  </si>
  <si>
    <t xml:space="preserve">Algae+Light</t>
  </si>
  <si>
    <t xml:space="preserve">Error Algae+Light</t>
  </si>
  <si>
    <t xml:space="preserve">Control vs Only Algae + Light (p-value)</t>
  </si>
  <si>
    <t xml:space="preserve">Figure 5a</t>
  </si>
  <si>
    <t xml:space="preserve">PDT (High concentration)</t>
  </si>
  <si>
    <t xml:space="preserve">Error PDT (High Conc.)</t>
  </si>
  <si>
    <t xml:space="preserve">Combination a</t>
  </si>
  <si>
    <t xml:space="preserve">Error Combination a</t>
  </si>
  <si>
    <t xml:space="preserve">PDT High vs Combination a (p-value)</t>
  </si>
  <si>
    <t xml:space="preserve">Combination b</t>
  </si>
  <si>
    <t xml:space="preserve">Error Combination b</t>
  </si>
  <si>
    <t xml:space="preserve">PDT High vs Combination b (p-value)</t>
  </si>
  <si>
    <t xml:space="preserve">Combination c</t>
  </si>
  <si>
    <t xml:space="preserve">Error Combination c</t>
  </si>
  <si>
    <t xml:space="preserve">PDT High vs Combination c (p-value)</t>
  </si>
  <si>
    <t xml:space="preserve">Figure 5b</t>
  </si>
  <si>
    <t xml:space="preserve">PDT (Low concentration)</t>
  </si>
  <si>
    <t xml:space="preserve">Error PDT (Low conc.)</t>
  </si>
  <si>
    <t xml:space="preserve">Combination b Low</t>
  </si>
  <si>
    <t xml:space="preserve">Error Combination b Low</t>
  </si>
  <si>
    <t xml:space="preserve">PDT vs Comb b low (p-value)</t>
  </si>
  <si>
    <t xml:space="preserve">PDT vs PDT High (p-value)</t>
  </si>
  <si>
    <t xml:space="preserve">Combination b High</t>
  </si>
  <si>
    <t xml:space="preserve">Error Combination b High</t>
  </si>
  <si>
    <t xml:space="preserve">PDT vs Comb b high (p-value)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</si>
</sst>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%"/>
    <numFmt numFmtId="167" formatCode="0.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name val="Arial"/>
      <family val="2"/>
    </font>
    <font>
      <b val="true"/>
      <sz val="18"/>
      <name val="Arial"/>
      <family val="2"/>
    </font>
    <font>
      <i val="true"/>
      <sz val="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0000"/>
        <bgColor rgb="FFFF4000"/>
      </patternFill>
    </fill>
    <fill>
      <patternFill patternType="solid">
        <fgColor rgb="FFFF4000"/>
        <bgColor rgb="FFFF0000"/>
      </patternFill>
    </fill>
    <fill>
      <patternFill patternType="solid">
        <fgColor rgb="FFA1467E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1467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EZ38"/>
  <sheetViews>
    <sheetView showFormulas="false" showGridLines="true" showRowColHeaders="true" showZeros="true" rightToLeft="false" tabSelected="false" showOutlineSymbols="true" defaultGridColor="true" view="normal" topLeftCell="D1" colorId="64" zoomScale="90" zoomScaleNormal="90" zoomScalePageLayoutView="100" workbookViewId="0">
      <selection pane="topLeft" activeCell="M3" activeCellId="0" sqref="M3"/>
    </sheetView>
  </sheetViews>
  <sheetFormatPr defaultColWidth="11.53515625" defaultRowHeight="22.05" customHeight="true" zeroHeight="false" outlineLevelRow="0" outlineLevelCol="0"/>
  <cols>
    <col collapsed="false" customWidth="true" hidden="false" outlineLevel="0" max="1" min="1" style="1" width="27.45"/>
    <col collapsed="false" customWidth="true" hidden="false" outlineLevel="0" max="4" min="2" style="1" width="14.15"/>
    <col collapsed="false" customWidth="true" hidden="false" outlineLevel="0" max="5" min="5" style="1" width="16.07"/>
    <col collapsed="false" customWidth="true" hidden="false" outlineLevel="0" max="6" min="6" style="1" width="17.93"/>
    <col collapsed="false" customWidth="true" hidden="false" outlineLevel="0" max="7" min="7" style="1" width="34.78"/>
    <col collapsed="false" customWidth="true" hidden="false" outlineLevel="0" max="8" min="8" style="1" width="33.85"/>
    <col collapsed="false" customWidth="true" hidden="false" outlineLevel="0" max="9" min="9" style="1" width="34.93"/>
    <col collapsed="false" customWidth="true" hidden="false" outlineLevel="0" max="10" min="10" style="1" width="29.31"/>
    <col collapsed="false" customWidth="true" hidden="false" outlineLevel="0" max="11" min="11" style="1" width="17.77"/>
    <col collapsed="false" customWidth="true" hidden="false" outlineLevel="0" max="12" min="12" style="1" width="13.14"/>
    <col collapsed="false" customWidth="true" hidden="false" outlineLevel="0" max="13" min="13" style="1" width="34.1"/>
    <col collapsed="false" customWidth="true" hidden="false" outlineLevel="0" max="14" min="14" style="1" width="29.31"/>
    <col collapsed="false" customWidth="false" hidden="false" outlineLevel="0" max="16374" min="15" style="1" width="11.53"/>
    <col collapsed="false" customWidth="false" hidden="false" outlineLevel="0" max="16384" min="16381" style="1" width="11.53"/>
  </cols>
  <sheetData>
    <row r="1" customFormat="false" ht="22.0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2.05" hidden="false" customHeight="false" outlineLevel="0" collapsed="false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3" t="s">
        <v>10</v>
      </c>
      <c r="L2" s="3" t="s">
        <v>11</v>
      </c>
      <c r="M2" s="4" t="s">
        <v>12</v>
      </c>
      <c r="N2" s="4" t="s">
        <v>13</v>
      </c>
    </row>
    <row r="3" customFormat="false" ht="22.05" hidden="false" customHeight="false" outlineLevel="0" collapsed="false">
      <c r="A3" s="1" t="s">
        <v>14</v>
      </c>
      <c r="B3" s="1" t="n">
        <v>24</v>
      </c>
      <c r="C3" s="1" t="n">
        <v>41</v>
      </c>
      <c r="D3" s="1" t="n">
        <v>38</v>
      </c>
      <c r="E3" s="1" t="n">
        <v>40</v>
      </c>
      <c r="F3" s="5" t="n">
        <v>39</v>
      </c>
      <c r="G3" s="5" t="n">
        <v>35</v>
      </c>
      <c r="H3" s="5" t="n">
        <v>33</v>
      </c>
      <c r="I3" s="5" t="n">
        <v>34</v>
      </c>
      <c r="J3" s="5" t="n">
        <v>30</v>
      </c>
      <c r="K3" s="6" t="n">
        <f aca="false">AVERAGE(B3:J3)</f>
        <v>34.8888888888889</v>
      </c>
      <c r="L3" s="6" t="n">
        <f aca="false">STDEV(B3:J3)/SQRT(15)</f>
        <v>1.40501746397476</v>
      </c>
      <c r="M3" s="7" t="n">
        <f aca="false">K3/$K$3</f>
        <v>1</v>
      </c>
      <c r="N3" s="7" t="n">
        <f aca="false">L3/$K$3</f>
        <v>0.0402712011967289</v>
      </c>
    </row>
    <row r="4" customFormat="false" ht="22.05" hidden="false" customHeight="false" outlineLevel="0" collapsed="false">
      <c r="A4" s="1" t="s">
        <v>15</v>
      </c>
      <c r="B4" s="1" t="n">
        <v>23</v>
      </c>
      <c r="C4" s="1" t="n">
        <v>44</v>
      </c>
      <c r="D4" s="1" t="n">
        <v>30</v>
      </c>
      <c r="E4" s="1" t="n">
        <v>24</v>
      </c>
      <c r="F4" s="5" t="n">
        <v>36</v>
      </c>
      <c r="G4" s="5" t="n">
        <v>29</v>
      </c>
      <c r="H4" s="5" t="n">
        <v>29</v>
      </c>
      <c r="I4" s="5" t="n">
        <v>32</v>
      </c>
      <c r="J4" s="5" t="n">
        <v>34</v>
      </c>
      <c r="K4" s="6" t="n">
        <f aca="false">AVERAGE(B4:J4)</f>
        <v>31.2222222222222</v>
      </c>
      <c r="L4" s="6" t="n">
        <f aca="false">STDEV(B4:J4)/SQRT(15)</f>
        <v>1.64710745337484</v>
      </c>
      <c r="M4" s="7" t="n">
        <f aca="false">K4/$K$3</f>
        <v>0.894904458598726</v>
      </c>
      <c r="N4" s="7" t="n">
        <f aca="false">L4/$K$3</f>
        <v>0.047210086243228</v>
      </c>
    </row>
    <row r="5" customFormat="false" ht="22.05" hidden="false" customHeight="false" outlineLevel="0" collapsed="false">
      <c r="A5" s="1" t="s">
        <v>16</v>
      </c>
      <c r="B5" s="1" t="n">
        <v>34</v>
      </c>
      <c r="C5" s="1" t="n">
        <v>32</v>
      </c>
      <c r="D5" s="1" t="n">
        <v>24</v>
      </c>
      <c r="E5" s="1" t="n">
        <v>21</v>
      </c>
      <c r="F5" s="5" t="n">
        <v>40</v>
      </c>
      <c r="G5" s="5" t="n">
        <v>28</v>
      </c>
      <c r="H5" s="5" t="n">
        <v>27</v>
      </c>
      <c r="I5" s="5" t="n">
        <v>30</v>
      </c>
      <c r="J5" s="5" t="n">
        <v>24</v>
      </c>
      <c r="K5" s="6" t="n">
        <f aca="false">AVERAGE(B5:J5)</f>
        <v>28.8888888888889</v>
      </c>
      <c r="L5" s="6" t="n">
        <f aca="false">STDEV(B5:J5)/SQRT(15)</f>
        <v>1.51351932288317</v>
      </c>
      <c r="M5" s="7" t="n">
        <f aca="false">K5/$K$3</f>
        <v>0.828025477707006</v>
      </c>
      <c r="N5" s="7" t="n">
        <f aca="false">L5/$K$3</f>
        <v>0.0433811270890082</v>
      </c>
    </row>
    <row r="6" customFormat="false" ht="22.05" hidden="false" customHeight="false" outlineLevel="0" collapsed="false">
      <c r="A6" s="1" t="s">
        <v>17</v>
      </c>
      <c r="B6" s="1" t="n">
        <v>33</v>
      </c>
      <c r="C6" s="1" t="n">
        <v>26</v>
      </c>
      <c r="D6" s="1" t="n">
        <v>22</v>
      </c>
      <c r="E6" s="1" t="n">
        <v>31</v>
      </c>
      <c r="F6" s="5" t="n">
        <v>31</v>
      </c>
      <c r="G6" s="5" t="n">
        <v>20</v>
      </c>
      <c r="H6" s="5" t="n">
        <v>16</v>
      </c>
      <c r="I6" s="5" t="n">
        <v>20</v>
      </c>
      <c r="J6" s="5" t="n">
        <v>24</v>
      </c>
      <c r="K6" s="6" t="n">
        <f aca="false">AVERAGE(B6:J6)</f>
        <v>24.7777777777778</v>
      </c>
      <c r="L6" s="6" t="n">
        <f aca="false">STDEV(B6:J6)/SQRT(15)</f>
        <v>1.52084284624118</v>
      </c>
      <c r="M6" s="7" t="n">
        <f aca="false">K6/$K$3</f>
        <v>0.710191082802548</v>
      </c>
      <c r="N6" s="7" t="n">
        <f aca="false">L6/$K$3</f>
        <v>0.0435910369941739</v>
      </c>
    </row>
    <row r="7" customFormat="false" ht="22.05" hidden="false" customHeight="false" outlineLevel="0" collapsed="false">
      <c r="A7" s="1" t="s">
        <v>18</v>
      </c>
      <c r="B7" s="5" t="n">
        <v>34</v>
      </c>
      <c r="C7" s="5" t="n">
        <v>21</v>
      </c>
      <c r="D7" s="1" t="n">
        <v>17</v>
      </c>
      <c r="E7" s="1" t="n">
        <v>37</v>
      </c>
      <c r="F7" s="5" t="n">
        <v>24</v>
      </c>
      <c r="G7" s="5" t="n">
        <v>20</v>
      </c>
      <c r="H7" s="8" t="s">
        <v>19</v>
      </c>
      <c r="I7" s="5" t="n">
        <v>21</v>
      </c>
      <c r="J7" s="5" t="n">
        <v>28</v>
      </c>
      <c r="K7" s="6" t="n">
        <f aca="false">AVERAGE(B7:J7)</f>
        <v>25.25</v>
      </c>
      <c r="L7" s="6" t="n">
        <f aca="false">STDEV(B7:J7)/SQRT(15)</f>
        <v>1.84003105563854</v>
      </c>
      <c r="M7" s="7" t="n">
        <f aca="false">K7/$K$3</f>
        <v>0.723726114649682</v>
      </c>
      <c r="N7" s="7" t="n">
        <f aca="false">L7/$K$3</f>
        <v>0.0527397436329518</v>
      </c>
    </row>
    <row r="8" customFormat="false" ht="22.05" hidden="false" customHeight="false" outlineLevel="0" collapsed="false">
      <c r="A8" s="1" t="s">
        <v>20</v>
      </c>
      <c r="B8" s="8" t="s">
        <v>19</v>
      </c>
      <c r="C8" s="5" t="n">
        <v>18</v>
      </c>
      <c r="D8" s="1" t="n">
        <v>18</v>
      </c>
      <c r="E8" s="1" t="n">
        <v>15</v>
      </c>
      <c r="F8" s="8" t="s">
        <v>19</v>
      </c>
      <c r="G8" s="8" t="s">
        <v>19</v>
      </c>
      <c r="H8" s="8" t="s">
        <v>19</v>
      </c>
      <c r="I8" s="8" t="s">
        <v>19</v>
      </c>
      <c r="J8" s="8" t="s">
        <v>19</v>
      </c>
      <c r="K8" s="6" t="n">
        <f aca="false">AVERAGE(B8:J8)</f>
        <v>17</v>
      </c>
      <c r="L8" s="6" t="n">
        <f aca="false">STDEV(B8:J8)/SQRT(15)</f>
        <v>0.447213595499958</v>
      </c>
      <c r="M8" s="7" t="n">
        <f aca="false">K8/$K$3</f>
        <v>0.487261146496815</v>
      </c>
      <c r="N8" s="7" t="n">
        <f aca="false">L8/$K$3</f>
        <v>0.0128182240748396</v>
      </c>
    </row>
    <row r="11" s="5" customFormat="true" ht="22.05" hidden="false" customHeight="false" outlineLevel="0" collapsed="false">
      <c r="S11" s="6"/>
      <c r="T11" s="6"/>
      <c r="U11" s="9"/>
      <c r="V11" s="6"/>
      <c r="AG11" s="6"/>
      <c r="AH11" s="6"/>
      <c r="AI11" s="9"/>
      <c r="AJ11" s="6"/>
      <c r="AU11" s="6"/>
      <c r="AV11" s="6"/>
      <c r="AW11" s="9"/>
      <c r="AX11" s="6"/>
      <c r="BI11" s="6"/>
      <c r="BJ11" s="6"/>
      <c r="BK11" s="9"/>
      <c r="BL11" s="6"/>
      <c r="BW11" s="6"/>
      <c r="BX11" s="6"/>
      <c r="BY11" s="9"/>
      <c r="BZ11" s="6"/>
      <c r="CK11" s="6"/>
      <c r="CL11" s="6"/>
      <c r="CM11" s="9"/>
      <c r="CN11" s="6"/>
      <c r="CY11" s="6"/>
      <c r="CZ11" s="6"/>
      <c r="DA11" s="9"/>
      <c r="DB11" s="6"/>
      <c r="DM11" s="6"/>
      <c r="DN11" s="6"/>
      <c r="DO11" s="9"/>
      <c r="DP11" s="6"/>
      <c r="EA11" s="6"/>
      <c r="EB11" s="6"/>
      <c r="EC11" s="9"/>
      <c r="ED11" s="6"/>
      <c r="EO11" s="6"/>
      <c r="EP11" s="6"/>
      <c r="EQ11" s="9"/>
      <c r="ER11" s="6"/>
      <c r="FC11" s="6"/>
      <c r="FD11" s="6"/>
      <c r="FE11" s="9"/>
      <c r="FF11" s="6"/>
      <c r="FQ11" s="6"/>
      <c r="FR11" s="6"/>
      <c r="FS11" s="9"/>
      <c r="FT11" s="6"/>
      <c r="GE11" s="6"/>
      <c r="GF11" s="6"/>
      <c r="GG11" s="9"/>
      <c r="GH11" s="6"/>
      <c r="GS11" s="6"/>
      <c r="GT11" s="6"/>
      <c r="GU11" s="9"/>
      <c r="GV11" s="6"/>
      <c r="HG11" s="6"/>
      <c r="HH11" s="6"/>
      <c r="HI11" s="9"/>
      <c r="HJ11" s="6"/>
      <c r="HU11" s="6"/>
      <c r="HV11" s="6"/>
      <c r="HW11" s="9"/>
      <c r="HX11" s="6"/>
      <c r="II11" s="6"/>
      <c r="IJ11" s="6"/>
      <c r="IK11" s="9"/>
      <c r="IL11" s="6"/>
      <c r="IW11" s="6"/>
      <c r="IX11" s="6"/>
      <c r="IY11" s="9"/>
      <c r="IZ11" s="6"/>
      <c r="JK11" s="6"/>
      <c r="JL11" s="6"/>
      <c r="JM11" s="9"/>
      <c r="JN11" s="6"/>
      <c r="JY11" s="6"/>
      <c r="JZ11" s="6"/>
      <c r="KA11" s="9"/>
      <c r="KB11" s="6"/>
      <c r="KM11" s="6"/>
      <c r="KN11" s="6"/>
      <c r="KO11" s="9"/>
      <c r="KP11" s="6"/>
      <c r="LA11" s="6"/>
      <c r="LB11" s="6"/>
      <c r="LC11" s="9"/>
      <c r="LD11" s="6"/>
      <c r="LO11" s="6"/>
      <c r="LP11" s="6"/>
      <c r="LQ11" s="9"/>
      <c r="LR11" s="6"/>
      <c r="MC11" s="6"/>
      <c r="MD11" s="6"/>
      <c r="ME11" s="9"/>
      <c r="MF11" s="6"/>
      <c r="MQ11" s="6"/>
      <c r="MR11" s="6"/>
      <c r="MS11" s="9"/>
      <c r="MT11" s="6"/>
      <c r="NE11" s="6"/>
      <c r="NF11" s="6"/>
      <c r="NG11" s="9"/>
      <c r="NH11" s="6"/>
      <c r="NS11" s="6"/>
      <c r="NT11" s="6"/>
      <c r="NU11" s="9"/>
      <c r="NV11" s="6"/>
      <c r="OG11" s="6"/>
      <c r="OH11" s="6"/>
      <c r="OI11" s="9"/>
      <c r="OJ11" s="6"/>
      <c r="OU11" s="6"/>
      <c r="OV11" s="6"/>
      <c r="OW11" s="9"/>
      <c r="OX11" s="6"/>
      <c r="PI11" s="6"/>
      <c r="PJ11" s="6"/>
      <c r="PK11" s="9"/>
      <c r="PL11" s="6"/>
      <c r="PW11" s="6"/>
      <c r="PX11" s="6"/>
      <c r="PY11" s="9"/>
      <c r="PZ11" s="6"/>
      <c r="QK11" s="6"/>
      <c r="QL11" s="6"/>
      <c r="QM11" s="9"/>
      <c r="QN11" s="6"/>
      <c r="QY11" s="6"/>
      <c r="QZ11" s="6"/>
      <c r="RA11" s="9"/>
      <c r="RB11" s="6"/>
      <c r="RM11" s="6"/>
      <c r="RN11" s="6"/>
      <c r="RO11" s="9"/>
      <c r="RP11" s="6"/>
      <c r="SA11" s="6"/>
      <c r="SB11" s="6"/>
      <c r="SC11" s="9"/>
      <c r="SD11" s="6"/>
      <c r="SO11" s="6"/>
      <c r="SP11" s="6"/>
      <c r="SQ11" s="9"/>
      <c r="SR11" s="6"/>
      <c r="TC11" s="6"/>
      <c r="TD11" s="6"/>
      <c r="TE11" s="9"/>
      <c r="TF11" s="6"/>
      <c r="TQ11" s="6"/>
      <c r="TR11" s="6"/>
      <c r="TS11" s="9"/>
      <c r="TT11" s="6"/>
      <c r="UE11" s="6"/>
      <c r="UF11" s="6"/>
      <c r="UG11" s="9"/>
      <c r="UH11" s="6"/>
      <c r="US11" s="6"/>
      <c r="UT11" s="6"/>
      <c r="UU11" s="9"/>
      <c r="UV11" s="6"/>
      <c r="VG11" s="6"/>
      <c r="VH11" s="6"/>
      <c r="VI11" s="9"/>
      <c r="VJ11" s="6"/>
      <c r="VU11" s="6"/>
      <c r="VV11" s="6"/>
      <c r="VW11" s="9"/>
      <c r="VX11" s="6"/>
      <c r="WI11" s="6"/>
      <c r="WJ11" s="6"/>
      <c r="WK11" s="9"/>
      <c r="WL11" s="6"/>
      <c r="WW11" s="6"/>
      <c r="WX11" s="6"/>
      <c r="WY11" s="9"/>
      <c r="WZ11" s="6"/>
      <c r="XK11" s="6"/>
      <c r="XL11" s="6"/>
      <c r="XM11" s="9"/>
      <c r="XN11" s="6"/>
      <c r="XY11" s="6"/>
      <c r="XZ11" s="6"/>
      <c r="YA11" s="9"/>
      <c r="YB11" s="6"/>
      <c r="YM11" s="6"/>
      <c r="YN11" s="6"/>
      <c r="YO11" s="9"/>
      <c r="YP11" s="6"/>
      <c r="ZA11" s="6"/>
      <c r="ZB11" s="6"/>
      <c r="ZC11" s="9"/>
      <c r="ZD11" s="6"/>
      <c r="ZO11" s="6"/>
      <c r="ZP11" s="6"/>
      <c r="ZQ11" s="9"/>
      <c r="ZR11" s="6"/>
      <c r="AAC11" s="6"/>
      <c r="AAD11" s="6"/>
      <c r="AAE11" s="9"/>
      <c r="AAF11" s="6"/>
      <c r="AAQ11" s="6"/>
      <c r="AAR11" s="6"/>
      <c r="AAS11" s="9"/>
      <c r="AAT11" s="6"/>
      <c r="ABE11" s="6"/>
      <c r="ABF11" s="6"/>
      <c r="ABG11" s="9"/>
      <c r="ABH11" s="6"/>
      <c r="ABS11" s="6"/>
      <c r="ABT11" s="6"/>
      <c r="ABU11" s="9"/>
      <c r="ABV11" s="6"/>
      <c r="ACG11" s="6"/>
      <c r="ACH11" s="6"/>
      <c r="ACI11" s="9"/>
      <c r="ACJ11" s="6"/>
      <c r="ACU11" s="6"/>
      <c r="ACV11" s="6"/>
      <c r="ACW11" s="9"/>
      <c r="ACX11" s="6"/>
      <c r="ADI11" s="6"/>
      <c r="ADJ11" s="6"/>
      <c r="ADK11" s="9"/>
      <c r="ADL11" s="6"/>
      <c r="ADW11" s="6"/>
      <c r="ADX11" s="6"/>
      <c r="ADY11" s="9"/>
      <c r="ADZ11" s="6"/>
      <c r="AEK11" s="6"/>
      <c r="AEL11" s="6"/>
      <c r="AEM11" s="9"/>
      <c r="AEN11" s="6"/>
      <c r="AEY11" s="6"/>
      <c r="AEZ11" s="6"/>
      <c r="AFA11" s="9"/>
      <c r="AFB11" s="6"/>
      <c r="AFM11" s="6"/>
      <c r="AFN11" s="6"/>
      <c r="AFO11" s="9"/>
      <c r="AFP11" s="6"/>
      <c r="AGA11" s="6"/>
      <c r="AGB11" s="6"/>
      <c r="AGC11" s="9"/>
      <c r="AGD11" s="6"/>
      <c r="AGO11" s="6"/>
      <c r="AGP11" s="6"/>
      <c r="AGQ11" s="9"/>
      <c r="AGR11" s="6"/>
      <c r="AHC11" s="6"/>
      <c r="AHD11" s="6"/>
      <c r="AHE11" s="9"/>
      <c r="AHF11" s="6"/>
      <c r="AHQ11" s="6"/>
      <c r="AHR11" s="6"/>
      <c r="AHS11" s="9"/>
      <c r="AHT11" s="6"/>
      <c r="AIE11" s="6"/>
      <c r="AIF11" s="6"/>
      <c r="AIG11" s="9"/>
      <c r="AIH11" s="6"/>
      <c r="AIS11" s="6"/>
      <c r="AIT11" s="6"/>
      <c r="AIU11" s="9"/>
      <c r="AIV11" s="6"/>
      <c r="AJG11" s="6"/>
      <c r="AJH11" s="6"/>
      <c r="AJI11" s="9"/>
      <c r="AJJ11" s="6"/>
      <c r="AJU11" s="6"/>
      <c r="AJV11" s="6"/>
      <c r="AJW11" s="9"/>
      <c r="AJX11" s="6"/>
      <c r="AKI11" s="6"/>
      <c r="AKJ11" s="6"/>
      <c r="AKK11" s="9"/>
      <c r="AKL11" s="6"/>
      <c r="AKW11" s="6"/>
      <c r="AKX11" s="6"/>
      <c r="AKY11" s="9"/>
      <c r="AKZ11" s="6"/>
      <c r="ALK11" s="6"/>
      <c r="ALL11" s="6"/>
      <c r="ALM11" s="9"/>
      <c r="ALN11" s="6"/>
      <c r="ALY11" s="6"/>
      <c r="ALZ11" s="6"/>
      <c r="AMA11" s="9"/>
      <c r="AMB11" s="6"/>
      <c r="AMM11" s="6"/>
      <c r="AMN11" s="6"/>
      <c r="AMO11" s="9"/>
      <c r="AMP11" s="6"/>
      <c r="ANA11" s="6"/>
      <c r="ANB11" s="6"/>
      <c r="ANC11" s="9"/>
      <c r="AND11" s="6"/>
      <c r="ANO11" s="6"/>
      <c r="ANP11" s="6"/>
      <c r="ANQ11" s="9"/>
      <c r="ANR11" s="6"/>
      <c r="AOC11" s="6"/>
      <c r="AOD11" s="6"/>
      <c r="AOE11" s="9"/>
      <c r="AOF11" s="6"/>
      <c r="AOQ11" s="6"/>
      <c r="AOR11" s="6"/>
      <c r="AOS11" s="9"/>
      <c r="AOT11" s="6"/>
      <c r="APE11" s="6"/>
      <c r="APF11" s="6"/>
      <c r="APG11" s="9"/>
      <c r="APH11" s="6"/>
      <c r="APS11" s="6"/>
      <c r="APT11" s="6"/>
      <c r="APU11" s="9"/>
      <c r="APV11" s="6"/>
      <c r="AQG11" s="6"/>
      <c r="AQH11" s="6"/>
      <c r="AQI11" s="9"/>
      <c r="AQJ11" s="6"/>
      <c r="AQU11" s="6"/>
      <c r="AQV11" s="6"/>
      <c r="AQW11" s="9"/>
      <c r="AQX11" s="6"/>
      <c r="ARI11" s="6"/>
      <c r="ARJ11" s="6"/>
      <c r="ARK11" s="9"/>
      <c r="ARL11" s="6"/>
      <c r="ARW11" s="6"/>
      <c r="ARX11" s="6"/>
      <c r="ARY11" s="9"/>
      <c r="ARZ11" s="6"/>
      <c r="ASK11" s="6"/>
      <c r="ASL11" s="6"/>
      <c r="ASM11" s="9"/>
      <c r="ASN11" s="6"/>
      <c r="ASY11" s="6"/>
      <c r="ASZ11" s="6"/>
      <c r="ATA11" s="9"/>
      <c r="ATB11" s="6"/>
      <c r="ATM11" s="6"/>
      <c r="ATN11" s="6"/>
      <c r="ATO11" s="9"/>
      <c r="ATP11" s="6"/>
      <c r="AUA11" s="6"/>
      <c r="AUB11" s="6"/>
      <c r="AUC11" s="9"/>
      <c r="AUD11" s="6"/>
      <c r="AUO11" s="6"/>
      <c r="AUP11" s="6"/>
      <c r="AUQ11" s="9"/>
      <c r="AUR11" s="6"/>
      <c r="AVC11" s="6"/>
      <c r="AVD11" s="6"/>
      <c r="AVE11" s="9"/>
      <c r="AVF11" s="6"/>
      <c r="AVQ11" s="6"/>
      <c r="AVR11" s="6"/>
      <c r="AVS11" s="9"/>
      <c r="AVT11" s="6"/>
      <c r="AWE11" s="6"/>
      <c r="AWF11" s="6"/>
      <c r="AWG11" s="9"/>
      <c r="AWH11" s="6"/>
      <c r="AWS11" s="6"/>
      <c r="AWT11" s="6"/>
      <c r="AWU11" s="9"/>
      <c r="AWV11" s="6"/>
      <c r="AXG11" s="6"/>
      <c r="AXH11" s="6"/>
      <c r="AXI11" s="9"/>
      <c r="AXJ11" s="6"/>
      <c r="AXU11" s="6"/>
      <c r="AXV11" s="6"/>
      <c r="AXW11" s="9"/>
      <c r="AXX11" s="6"/>
      <c r="AYI11" s="6"/>
      <c r="AYJ11" s="6"/>
      <c r="AYK11" s="9"/>
      <c r="AYL11" s="6"/>
      <c r="AYW11" s="6"/>
      <c r="AYX11" s="6"/>
      <c r="AYY11" s="9"/>
      <c r="AYZ11" s="6"/>
      <c r="AZK11" s="6"/>
      <c r="AZL11" s="6"/>
      <c r="AZM11" s="9"/>
      <c r="AZN11" s="6"/>
      <c r="AZY11" s="6"/>
      <c r="AZZ11" s="6"/>
      <c r="BAA11" s="9"/>
      <c r="BAB11" s="6"/>
      <c r="BAM11" s="6"/>
      <c r="BAN11" s="6"/>
      <c r="BAO11" s="9"/>
      <c r="BAP11" s="6"/>
      <c r="BBA11" s="6"/>
      <c r="BBB11" s="6"/>
      <c r="BBC11" s="9"/>
      <c r="BBD11" s="6"/>
      <c r="BBO11" s="6"/>
      <c r="BBP11" s="6"/>
      <c r="BBQ11" s="9"/>
      <c r="BBR11" s="6"/>
      <c r="BCC11" s="6"/>
      <c r="BCD11" s="6"/>
      <c r="BCE11" s="9"/>
      <c r="BCF11" s="6"/>
      <c r="BCQ11" s="6"/>
      <c r="BCR11" s="6"/>
      <c r="BCS11" s="9"/>
      <c r="BCT11" s="6"/>
      <c r="BDE11" s="6"/>
      <c r="BDF11" s="6"/>
      <c r="BDG11" s="9"/>
      <c r="BDH11" s="6"/>
      <c r="BDS11" s="6"/>
      <c r="BDT11" s="6"/>
      <c r="BDU11" s="9"/>
      <c r="BDV11" s="6"/>
      <c r="BEG11" s="6"/>
      <c r="BEH11" s="6"/>
      <c r="BEI11" s="9"/>
      <c r="BEJ11" s="6"/>
      <c r="BEU11" s="6"/>
      <c r="BEV11" s="6"/>
      <c r="BEW11" s="9"/>
      <c r="BEX11" s="6"/>
      <c r="BFI11" s="6"/>
      <c r="BFJ11" s="6"/>
      <c r="BFK11" s="9"/>
      <c r="BFL11" s="6"/>
      <c r="BFW11" s="6"/>
      <c r="BFX11" s="6"/>
      <c r="BFY11" s="9"/>
      <c r="BFZ11" s="6"/>
      <c r="BGK11" s="6"/>
      <c r="BGL11" s="6"/>
      <c r="BGM11" s="9"/>
      <c r="BGN11" s="6"/>
      <c r="BGY11" s="6"/>
      <c r="BGZ11" s="6"/>
      <c r="BHA11" s="9"/>
      <c r="BHB11" s="6"/>
      <c r="BHM11" s="6"/>
      <c r="BHN11" s="6"/>
      <c r="BHO11" s="9"/>
      <c r="BHP11" s="6"/>
      <c r="BIA11" s="6"/>
      <c r="BIB11" s="6"/>
      <c r="BIC11" s="9"/>
      <c r="BID11" s="6"/>
      <c r="BIO11" s="6"/>
      <c r="BIP11" s="6"/>
      <c r="BIQ11" s="9"/>
      <c r="BIR11" s="6"/>
      <c r="BJC11" s="6"/>
      <c r="BJD11" s="6"/>
      <c r="BJE11" s="9"/>
      <c r="BJF11" s="6"/>
      <c r="BJQ11" s="6"/>
      <c r="BJR11" s="6"/>
      <c r="BJS11" s="9"/>
      <c r="BJT11" s="6"/>
      <c r="BKE11" s="6"/>
      <c r="BKF11" s="6"/>
      <c r="BKG11" s="9"/>
      <c r="BKH11" s="6"/>
      <c r="BKS11" s="6"/>
      <c r="BKT11" s="6"/>
      <c r="BKU11" s="9"/>
      <c r="BKV11" s="6"/>
      <c r="BLG11" s="6"/>
      <c r="BLH11" s="6"/>
      <c r="BLI11" s="9"/>
      <c r="BLJ11" s="6"/>
      <c r="BLU11" s="6"/>
      <c r="BLV11" s="6"/>
      <c r="BLW11" s="9"/>
      <c r="BLX11" s="6"/>
      <c r="BMI11" s="6"/>
      <c r="BMJ11" s="6"/>
      <c r="BMK11" s="9"/>
      <c r="BML11" s="6"/>
      <c r="BMW11" s="6"/>
      <c r="BMX11" s="6"/>
      <c r="BMY11" s="9"/>
      <c r="BMZ11" s="6"/>
      <c r="BNK11" s="6"/>
      <c r="BNL11" s="6"/>
      <c r="BNM11" s="9"/>
      <c r="BNN11" s="6"/>
      <c r="BNY11" s="6"/>
      <c r="BNZ11" s="6"/>
      <c r="BOA11" s="9"/>
      <c r="BOB11" s="6"/>
      <c r="BOM11" s="6"/>
      <c r="BON11" s="6"/>
      <c r="BOO11" s="9"/>
      <c r="BOP11" s="6"/>
      <c r="BPA11" s="6"/>
      <c r="BPB11" s="6"/>
      <c r="BPC11" s="9"/>
      <c r="BPD11" s="6"/>
      <c r="BPO11" s="6"/>
      <c r="BPP11" s="6"/>
      <c r="BPQ11" s="9"/>
      <c r="BPR11" s="6"/>
      <c r="BQC11" s="6"/>
      <c r="BQD11" s="6"/>
      <c r="BQE11" s="9"/>
      <c r="BQF11" s="6"/>
      <c r="BQQ11" s="6"/>
      <c r="BQR11" s="6"/>
      <c r="BQS11" s="9"/>
      <c r="BQT11" s="6"/>
      <c r="BRE11" s="6"/>
      <c r="BRF11" s="6"/>
      <c r="BRG11" s="9"/>
      <c r="BRH11" s="6"/>
      <c r="BRS11" s="6"/>
      <c r="BRT11" s="6"/>
      <c r="BRU11" s="9"/>
      <c r="BRV11" s="6"/>
      <c r="BSG11" s="6"/>
      <c r="BSH11" s="6"/>
      <c r="BSI11" s="9"/>
      <c r="BSJ11" s="6"/>
      <c r="BSU11" s="6"/>
      <c r="BSV11" s="6"/>
      <c r="BSW11" s="9"/>
      <c r="BSX11" s="6"/>
      <c r="BTI11" s="6"/>
      <c r="BTJ11" s="6"/>
      <c r="BTK11" s="9"/>
      <c r="BTL11" s="6"/>
      <c r="BTW11" s="6"/>
      <c r="BTX11" s="6"/>
      <c r="BTY11" s="9"/>
      <c r="BTZ11" s="6"/>
      <c r="BUK11" s="6"/>
      <c r="BUL11" s="6"/>
      <c r="BUM11" s="9"/>
      <c r="BUN11" s="6"/>
      <c r="BUY11" s="6"/>
      <c r="BUZ11" s="6"/>
      <c r="BVA11" s="9"/>
      <c r="BVB11" s="6"/>
      <c r="BVM11" s="6"/>
      <c r="BVN11" s="6"/>
      <c r="BVO11" s="9"/>
      <c r="BVP11" s="6"/>
      <c r="BWA11" s="6"/>
      <c r="BWB11" s="6"/>
      <c r="BWC11" s="9"/>
      <c r="BWD11" s="6"/>
      <c r="BWO11" s="6"/>
      <c r="BWP11" s="6"/>
      <c r="BWQ11" s="9"/>
      <c r="BWR11" s="6"/>
      <c r="BXC11" s="6"/>
      <c r="BXD11" s="6"/>
      <c r="BXE11" s="9"/>
      <c r="BXF11" s="6"/>
      <c r="BXQ11" s="6"/>
      <c r="BXR11" s="6"/>
      <c r="BXS11" s="9"/>
      <c r="BXT11" s="6"/>
      <c r="BYE11" s="6"/>
      <c r="BYF11" s="6"/>
      <c r="BYG11" s="9"/>
      <c r="BYH11" s="6"/>
      <c r="BYS11" s="6"/>
      <c r="BYT11" s="6"/>
      <c r="BYU11" s="9"/>
      <c r="BYV11" s="6"/>
      <c r="BZG11" s="6"/>
      <c r="BZH11" s="6"/>
      <c r="BZI11" s="9"/>
      <c r="BZJ11" s="6"/>
      <c r="BZU11" s="6"/>
      <c r="BZV11" s="6"/>
      <c r="BZW11" s="9"/>
      <c r="BZX11" s="6"/>
      <c r="CAI11" s="6"/>
      <c r="CAJ11" s="6"/>
      <c r="CAK11" s="9"/>
      <c r="CAL11" s="6"/>
      <c r="CAW11" s="6"/>
      <c r="CAX11" s="6"/>
      <c r="CAY11" s="9"/>
      <c r="CAZ11" s="6"/>
      <c r="CBK11" s="6"/>
      <c r="CBL11" s="6"/>
      <c r="CBM11" s="9"/>
      <c r="CBN11" s="6"/>
      <c r="CBY11" s="6"/>
      <c r="CBZ11" s="6"/>
      <c r="CCA11" s="9"/>
      <c r="CCB11" s="6"/>
      <c r="CCM11" s="6"/>
      <c r="CCN11" s="6"/>
      <c r="CCO11" s="9"/>
      <c r="CCP11" s="6"/>
      <c r="CDA11" s="6"/>
      <c r="CDB11" s="6"/>
      <c r="CDC11" s="9"/>
      <c r="CDD11" s="6"/>
      <c r="CDO11" s="6"/>
      <c r="CDP11" s="6"/>
      <c r="CDQ11" s="9"/>
      <c r="CDR11" s="6"/>
      <c r="CEC11" s="6"/>
      <c r="CED11" s="6"/>
      <c r="CEE11" s="9"/>
      <c r="CEF11" s="6"/>
      <c r="CEQ11" s="6"/>
      <c r="CER11" s="6"/>
      <c r="CES11" s="9"/>
      <c r="CET11" s="6"/>
      <c r="CFE11" s="6"/>
      <c r="CFF11" s="6"/>
      <c r="CFG11" s="9"/>
      <c r="CFH11" s="6"/>
      <c r="CFS11" s="6"/>
      <c r="CFT11" s="6"/>
      <c r="CFU11" s="9"/>
      <c r="CFV11" s="6"/>
      <c r="CGG11" s="6"/>
      <c r="CGH11" s="6"/>
      <c r="CGI11" s="9"/>
      <c r="CGJ11" s="6"/>
      <c r="CGU11" s="6"/>
      <c r="CGV11" s="6"/>
      <c r="CGW11" s="9"/>
      <c r="CGX11" s="6"/>
      <c r="CHI11" s="6"/>
      <c r="CHJ11" s="6"/>
      <c r="CHK11" s="9"/>
      <c r="CHL11" s="6"/>
      <c r="CHW11" s="6"/>
      <c r="CHX11" s="6"/>
      <c r="CHY11" s="9"/>
      <c r="CHZ11" s="6"/>
      <c r="CIK11" s="6"/>
      <c r="CIL11" s="6"/>
      <c r="CIM11" s="9"/>
      <c r="CIN11" s="6"/>
      <c r="CIY11" s="6"/>
      <c r="CIZ11" s="6"/>
      <c r="CJA11" s="9"/>
      <c r="CJB11" s="6"/>
      <c r="CJM11" s="6"/>
      <c r="CJN11" s="6"/>
      <c r="CJO11" s="9"/>
      <c r="CJP11" s="6"/>
      <c r="CKA11" s="6"/>
      <c r="CKB11" s="6"/>
      <c r="CKC11" s="9"/>
      <c r="CKD11" s="6"/>
      <c r="CKO11" s="6"/>
      <c r="CKP11" s="6"/>
      <c r="CKQ11" s="9"/>
      <c r="CKR11" s="6"/>
      <c r="CLC11" s="6"/>
      <c r="CLD11" s="6"/>
      <c r="CLE11" s="9"/>
      <c r="CLF11" s="6"/>
      <c r="CLQ11" s="6"/>
      <c r="CLR11" s="6"/>
      <c r="CLS11" s="9"/>
      <c r="CLT11" s="6"/>
      <c r="CME11" s="6"/>
      <c r="CMF11" s="6"/>
      <c r="CMG11" s="9"/>
      <c r="CMH11" s="6"/>
      <c r="CMS11" s="6"/>
      <c r="CMT11" s="6"/>
      <c r="CMU11" s="9"/>
      <c r="CMV11" s="6"/>
      <c r="CNG11" s="6"/>
      <c r="CNH11" s="6"/>
      <c r="CNI11" s="9"/>
      <c r="CNJ11" s="6"/>
      <c r="CNU11" s="6"/>
      <c r="CNV11" s="6"/>
      <c r="CNW11" s="9"/>
      <c r="CNX11" s="6"/>
      <c r="COI11" s="6"/>
      <c r="COJ11" s="6"/>
      <c r="COK11" s="9"/>
      <c r="COL11" s="6"/>
      <c r="COW11" s="6"/>
      <c r="COX11" s="6"/>
      <c r="COY11" s="9"/>
      <c r="COZ11" s="6"/>
      <c r="CPK11" s="6"/>
      <c r="CPL11" s="6"/>
      <c r="CPM11" s="9"/>
      <c r="CPN11" s="6"/>
      <c r="CPY11" s="6"/>
      <c r="CPZ11" s="6"/>
      <c r="CQA11" s="9"/>
      <c r="CQB11" s="6"/>
      <c r="CQM11" s="6"/>
      <c r="CQN11" s="6"/>
      <c r="CQO11" s="9"/>
      <c r="CQP11" s="6"/>
      <c r="CRA11" s="6"/>
      <c r="CRB11" s="6"/>
      <c r="CRC11" s="9"/>
      <c r="CRD11" s="6"/>
      <c r="CRO11" s="6"/>
      <c r="CRP11" s="6"/>
      <c r="CRQ11" s="9"/>
      <c r="CRR11" s="6"/>
      <c r="CSC11" s="6"/>
      <c r="CSD11" s="6"/>
      <c r="CSE11" s="9"/>
      <c r="CSF11" s="6"/>
      <c r="CSQ11" s="6"/>
      <c r="CSR11" s="6"/>
      <c r="CSS11" s="9"/>
      <c r="CST11" s="6"/>
      <c r="CTE11" s="6"/>
      <c r="CTF11" s="6"/>
      <c r="CTG11" s="9"/>
      <c r="CTH11" s="6"/>
      <c r="CTS11" s="6"/>
      <c r="CTT11" s="6"/>
      <c r="CTU11" s="9"/>
      <c r="CTV11" s="6"/>
      <c r="CUG11" s="6"/>
      <c r="CUH11" s="6"/>
      <c r="CUI11" s="9"/>
      <c r="CUJ11" s="6"/>
      <c r="CUU11" s="6"/>
      <c r="CUV11" s="6"/>
      <c r="CUW11" s="9"/>
      <c r="CUX11" s="6"/>
      <c r="CVI11" s="6"/>
      <c r="CVJ11" s="6"/>
      <c r="CVK11" s="9"/>
      <c r="CVL11" s="6"/>
      <c r="CVW11" s="6"/>
      <c r="CVX11" s="6"/>
      <c r="CVY11" s="9"/>
      <c r="CVZ11" s="6"/>
      <c r="CWK11" s="6"/>
      <c r="CWL11" s="6"/>
      <c r="CWM11" s="9"/>
      <c r="CWN11" s="6"/>
      <c r="CWY11" s="6"/>
      <c r="CWZ11" s="6"/>
      <c r="CXA11" s="9"/>
      <c r="CXB11" s="6"/>
      <c r="CXM11" s="6"/>
      <c r="CXN11" s="6"/>
      <c r="CXO11" s="9"/>
      <c r="CXP11" s="6"/>
      <c r="CYA11" s="6"/>
      <c r="CYB11" s="6"/>
      <c r="CYC11" s="9"/>
      <c r="CYD11" s="6"/>
      <c r="CYO11" s="6"/>
      <c r="CYP11" s="6"/>
      <c r="CYQ11" s="9"/>
      <c r="CYR11" s="6"/>
      <c r="CZC11" s="6"/>
      <c r="CZD11" s="6"/>
      <c r="CZE11" s="9"/>
      <c r="CZF11" s="6"/>
      <c r="CZQ11" s="6"/>
      <c r="CZR11" s="6"/>
      <c r="CZS11" s="9"/>
      <c r="CZT11" s="6"/>
      <c r="DAE11" s="6"/>
      <c r="DAF11" s="6"/>
      <c r="DAG11" s="9"/>
      <c r="DAH11" s="6"/>
      <c r="DAS11" s="6"/>
      <c r="DAT11" s="6"/>
      <c r="DAU11" s="9"/>
      <c r="DAV11" s="6"/>
      <c r="DBG11" s="6"/>
      <c r="DBH11" s="6"/>
      <c r="DBI11" s="9"/>
      <c r="DBJ11" s="6"/>
      <c r="DBU11" s="6"/>
      <c r="DBV11" s="6"/>
      <c r="DBW11" s="9"/>
      <c r="DBX11" s="6"/>
      <c r="DCI11" s="6"/>
      <c r="DCJ11" s="6"/>
      <c r="DCK11" s="9"/>
      <c r="DCL11" s="6"/>
      <c r="DCW11" s="6"/>
      <c r="DCX11" s="6"/>
      <c r="DCY11" s="9"/>
      <c r="DCZ11" s="6"/>
      <c r="DDK11" s="6"/>
      <c r="DDL11" s="6"/>
      <c r="DDM11" s="9"/>
      <c r="DDN11" s="6"/>
      <c r="DDY11" s="6"/>
      <c r="DDZ11" s="6"/>
      <c r="DEA11" s="9"/>
      <c r="DEB11" s="6"/>
      <c r="DEM11" s="6"/>
      <c r="DEN11" s="6"/>
      <c r="DEO11" s="9"/>
      <c r="DEP11" s="6"/>
      <c r="DFA11" s="6"/>
      <c r="DFB11" s="6"/>
      <c r="DFC11" s="9"/>
      <c r="DFD11" s="6"/>
      <c r="DFO11" s="6"/>
      <c r="DFP11" s="6"/>
      <c r="DFQ11" s="9"/>
      <c r="DFR11" s="6"/>
      <c r="DGC11" s="6"/>
      <c r="DGD11" s="6"/>
      <c r="DGE11" s="9"/>
      <c r="DGF11" s="6"/>
      <c r="DGQ11" s="6"/>
      <c r="DGR11" s="6"/>
      <c r="DGS11" s="9"/>
      <c r="DGT11" s="6"/>
      <c r="DHE11" s="6"/>
      <c r="DHF11" s="6"/>
      <c r="DHG11" s="9"/>
      <c r="DHH11" s="6"/>
      <c r="DHS11" s="6"/>
      <c r="DHT11" s="6"/>
      <c r="DHU11" s="9"/>
      <c r="DHV11" s="6"/>
      <c r="DIG11" s="6"/>
      <c r="DIH11" s="6"/>
      <c r="DII11" s="9"/>
      <c r="DIJ11" s="6"/>
      <c r="DIU11" s="6"/>
      <c r="DIV11" s="6"/>
      <c r="DIW11" s="9"/>
      <c r="DIX11" s="6"/>
      <c r="DJI11" s="6"/>
      <c r="DJJ11" s="6"/>
      <c r="DJK11" s="9"/>
      <c r="DJL11" s="6"/>
      <c r="DJW11" s="6"/>
      <c r="DJX11" s="6"/>
      <c r="DJY11" s="9"/>
      <c r="DJZ11" s="6"/>
      <c r="DKK11" s="6"/>
      <c r="DKL11" s="6"/>
      <c r="DKM11" s="9"/>
      <c r="DKN11" s="6"/>
      <c r="DKY11" s="6"/>
      <c r="DKZ11" s="6"/>
      <c r="DLA11" s="9"/>
      <c r="DLB11" s="6"/>
      <c r="DLM11" s="6"/>
      <c r="DLN11" s="6"/>
      <c r="DLO11" s="9"/>
      <c r="DLP11" s="6"/>
      <c r="DMA11" s="6"/>
      <c r="DMB11" s="6"/>
      <c r="DMC11" s="9"/>
      <c r="DMD11" s="6"/>
      <c r="DMO11" s="6"/>
      <c r="DMP11" s="6"/>
      <c r="DMQ11" s="9"/>
      <c r="DMR11" s="6"/>
      <c r="DNC11" s="6"/>
      <c r="DND11" s="6"/>
      <c r="DNE11" s="9"/>
      <c r="DNF11" s="6"/>
      <c r="DNQ11" s="6"/>
      <c r="DNR11" s="6"/>
      <c r="DNS11" s="9"/>
      <c r="DNT11" s="6"/>
      <c r="DOE11" s="6"/>
      <c r="DOF11" s="6"/>
      <c r="DOG11" s="9"/>
      <c r="DOH11" s="6"/>
      <c r="DOS11" s="6"/>
      <c r="DOT11" s="6"/>
      <c r="DOU11" s="9"/>
      <c r="DOV11" s="6"/>
      <c r="DPG11" s="6"/>
      <c r="DPH11" s="6"/>
      <c r="DPI11" s="9"/>
      <c r="DPJ11" s="6"/>
      <c r="DPU11" s="6"/>
      <c r="DPV11" s="6"/>
      <c r="DPW11" s="9"/>
      <c r="DPX11" s="6"/>
      <c r="DQI11" s="6"/>
      <c r="DQJ11" s="6"/>
      <c r="DQK11" s="9"/>
      <c r="DQL11" s="6"/>
      <c r="DQW11" s="6"/>
      <c r="DQX11" s="6"/>
      <c r="DQY11" s="9"/>
      <c r="DQZ11" s="6"/>
      <c r="DRK11" s="6"/>
      <c r="DRL11" s="6"/>
      <c r="DRM11" s="9"/>
      <c r="DRN11" s="6"/>
      <c r="DRY11" s="6"/>
      <c r="DRZ11" s="6"/>
      <c r="DSA11" s="9"/>
      <c r="DSB11" s="6"/>
      <c r="DSM11" s="6"/>
      <c r="DSN11" s="6"/>
      <c r="DSO11" s="9"/>
      <c r="DSP11" s="6"/>
      <c r="DTA11" s="6"/>
      <c r="DTB11" s="6"/>
      <c r="DTC11" s="9"/>
      <c r="DTD11" s="6"/>
      <c r="DTO11" s="6"/>
      <c r="DTP11" s="6"/>
      <c r="DTQ11" s="9"/>
      <c r="DTR11" s="6"/>
      <c r="DUC11" s="6"/>
      <c r="DUD11" s="6"/>
      <c r="DUE11" s="9"/>
      <c r="DUF11" s="6"/>
      <c r="DUQ11" s="6"/>
      <c r="DUR11" s="6"/>
      <c r="DUS11" s="9"/>
      <c r="DUT11" s="6"/>
      <c r="DVE11" s="6"/>
      <c r="DVF11" s="6"/>
      <c r="DVG11" s="9"/>
      <c r="DVH11" s="6"/>
      <c r="DVS11" s="6"/>
      <c r="DVT11" s="6"/>
      <c r="DVU11" s="9"/>
      <c r="DVV11" s="6"/>
      <c r="DWG11" s="6"/>
      <c r="DWH11" s="6"/>
      <c r="DWI11" s="9"/>
      <c r="DWJ11" s="6"/>
      <c r="DWU11" s="6"/>
      <c r="DWV11" s="6"/>
      <c r="DWW11" s="9"/>
      <c r="DWX11" s="6"/>
      <c r="DXI11" s="6"/>
      <c r="DXJ11" s="6"/>
      <c r="DXK11" s="9"/>
      <c r="DXL11" s="6"/>
      <c r="DXW11" s="6"/>
      <c r="DXX11" s="6"/>
      <c r="DXY11" s="9"/>
      <c r="DXZ11" s="6"/>
      <c r="DYK11" s="6"/>
      <c r="DYL11" s="6"/>
      <c r="DYM11" s="9"/>
      <c r="DYN11" s="6"/>
      <c r="DYY11" s="6"/>
      <c r="DYZ11" s="6"/>
      <c r="DZA11" s="9"/>
      <c r="DZB11" s="6"/>
      <c r="DZM11" s="6"/>
      <c r="DZN11" s="6"/>
      <c r="DZO11" s="9"/>
      <c r="DZP11" s="6"/>
      <c r="EAA11" s="6"/>
      <c r="EAB11" s="6"/>
      <c r="EAC11" s="9"/>
      <c r="EAD11" s="6"/>
      <c r="EAO11" s="6"/>
      <c r="EAP11" s="6"/>
      <c r="EAQ11" s="9"/>
      <c r="EAR11" s="6"/>
      <c r="EBC11" s="6"/>
      <c r="EBD11" s="6"/>
      <c r="EBE11" s="9"/>
      <c r="EBF11" s="6"/>
      <c r="EBQ11" s="6"/>
      <c r="EBR11" s="6"/>
      <c r="EBS11" s="9"/>
      <c r="EBT11" s="6"/>
      <c r="ECE11" s="6"/>
      <c r="ECF11" s="6"/>
      <c r="ECG11" s="9"/>
      <c r="ECH11" s="6"/>
      <c r="ECS11" s="6"/>
      <c r="ECT11" s="6"/>
      <c r="ECU11" s="9"/>
      <c r="ECV11" s="6"/>
      <c r="EDG11" s="6"/>
      <c r="EDH11" s="6"/>
      <c r="EDI11" s="9"/>
      <c r="EDJ11" s="6"/>
      <c r="EDU11" s="6"/>
      <c r="EDV11" s="6"/>
      <c r="EDW11" s="9"/>
      <c r="EDX11" s="6"/>
      <c r="EEI11" s="6"/>
      <c r="EEJ11" s="6"/>
      <c r="EEK11" s="9"/>
      <c r="EEL11" s="6"/>
      <c r="EEW11" s="6"/>
      <c r="EEX11" s="6"/>
      <c r="EEY11" s="9"/>
      <c r="EEZ11" s="6"/>
      <c r="EFK11" s="6"/>
      <c r="EFL11" s="6"/>
      <c r="EFM11" s="9"/>
      <c r="EFN11" s="6"/>
      <c r="EFY11" s="6"/>
      <c r="EFZ11" s="6"/>
      <c r="EGA11" s="9"/>
      <c r="EGB11" s="6"/>
      <c r="EGM11" s="6"/>
      <c r="EGN11" s="6"/>
      <c r="EGO11" s="9"/>
      <c r="EGP11" s="6"/>
      <c r="EHA11" s="6"/>
      <c r="EHB11" s="6"/>
      <c r="EHC11" s="9"/>
      <c r="EHD11" s="6"/>
      <c r="EHO11" s="6"/>
      <c r="EHP11" s="6"/>
      <c r="EHQ11" s="9"/>
      <c r="EHR11" s="6"/>
      <c r="EIC11" s="6"/>
      <c r="EID11" s="6"/>
      <c r="EIE11" s="9"/>
      <c r="EIF11" s="6"/>
      <c r="EIQ11" s="6"/>
      <c r="EIR11" s="6"/>
      <c r="EIS11" s="9"/>
      <c r="EIT11" s="6"/>
      <c r="EJE11" s="6"/>
      <c r="EJF11" s="6"/>
      <c r="EJG11" s="9"/>
      <c r="EJH11" s="6"/>
      <c r="EJS11" s="6"/>
      <c r="EJT11" s="6"/>
      <c r="EJU11" s="9"/>
      <c r="EJV11" s="6"/>
      <c r="EKG11" s="6"/>
      <c r="EKH11" s="6"/>
      <c r="EKI11" s="9"/>
      <c r="EKJ11" s="6"/>
      <c r="EKU11" s="6"/>
      <c r="EKV11" s="6"/>
      <c r="EKW11" s="9"/>
      <c r="EKX11" s="6"/>
      <c r="ELI11" s="6"/>
      <c r="ELJ11" s="6"/>
      <c r="ELK11" s="9"/>
      <c r="ELL11" s="6"/>
      <c r="ELW11" s="6"/>
      <c r="ELX11" s="6"/>
      <c r="ELY11" s="9"/>
      <c r="ELZ11" s="6"/>
      <c r="EMK11" s="6"/>
      <c r="EML11" s="6"/>
      <c r="EMM11" s="9"/>
      <c r="EMN11" s="6"/>
      <c r="EMY11" s="6"/>
      <c r="EMZ11" s="6"/>
      <c r="ENA11" s="9"/>
      <c r="ENB11" s="6"/>
      <c r="ENM11" s="6"/>
      <c r="ENN11" s="6"/>
      <c r="ENO11" s="9"/>
      <c r="ENP11" s="6"/>
      <c r="EOA11" s="6"/>
      <c r="EOB11" s="6"/>
      <c r="EOC11" s="9"/>
      <c r="EOD11" s="6"/>
      <c r="EOO11" s="6"/>
      <c r="EOP11" s="6"/>
      <c r="EOQ11" s="9"/>
      <c r="EOR11" s="6"/>
      <c r="EPC11" s="6"/>
      <c r="EPD11" s="6"/>
      <c r="EPE11" s="9"/>
      <c r="EPF11" s="6"/>
      <c r="EPQ11" s="6"/>
      <c r="EPR11" s="6"/>
      <c r="EPS11" s="9"/>
      <c r="EPT11" s="6"/>
      <c r="EQE11" s="6"/>
      <c r="EQF11" s="6"/>
      <c r="EQG11" s="9"/>
      <c r="EQH11" s="6"/>
      <c r="EQS11" s="6"/>
      <c r="EQT11" s="6"/>
      <c r="EQU11" s="9"/>
      <c r="EQV11" s="6"/>
      <c r="ERG11" s="6"/>
      <c r="ERH11" s="6"/>
      <c r="ERI11" s="9"/>
      <c r="ERJ11" s="6"/>
      <c r="ERU11" s="6"/>
      <c r="ERV11" s="6"/>
      <c r="ERW11" s="9"/>
      <c r="ERX11" s="6"/>
      <c r="ESI11" s="6"/>
      <c r="ESJ11" s="6"/>
      <c r="ESK11" s="9"/>
      <c r="ESL11" s="6"/>
      <c r="ESW11" s="6"/>
      <c r="ESX11" s="6"/>
      <c r="ESY11" s="9"/>
      <c r="ESZ11" s="6"/>
      <c r="ETK11" s="6"/>
      <c r="ETL11" s="6"/>
      <c r="ETM11" s="9"/>
      <c r="ETN11" s="6"/>
      <c r="ETY11" s="6"/>
      <c r="ETZ11" s="6"/>
      <c r="EUA11" s="9"/>
      <c r="EUB11" s="6"/>
      <c r="EUM11" s="6"/>
      <c r="EUN11" s="6"/>
      <c r="EUO11" s="9"/>
      <c r="EUP11" s="6"/>
      <c r="EVA11" s="6"/>
      <c r="EVB11" s="6"/>
      <c r="EVC11" s="9"/>
      <c r="EVD11" s="6"/>
      <c r="EVO11" s="6"/>
      <c r="EVP11" s="6"/>
      <c r="EVQ11" s="9"/>
      <c r="EVR11" s="6"/>
      <c r="EWC11" s="6"/>
      <c r="EWD11" s="6"/>
      <c r="EWE11" s="9"/>
      <c r="EWF11" s="6"/>
      <c r="EWQ11" s="6"/>
      <c r="EWR11" s="6"/>
      <c r="EWS11" s="9"/>
      <c r="EWT11" s="6"/>
      <c r="EXE11" s="6"/>
      <c r="EXF11" s="6"/>
      <c r="EXG11" s="9"/>
      <c r="EXH11" s="6"/>
      <c r="EXS11" s="6"/>
      <c r="EXT11" s="6"/>
      <c r="EXU11" s="9"/>
      <c r="EXV11" s="6"/>
      <c r="EYG11" s="6"/>
      <c r="EYH11" s="6"/>
      <c r="EYI11" s="9"/>
      <c r="EYJ11" s="6"/>
      <c r="EYU11" s="6"/>
      <c r="EYV11" s="6"/>
      <c r="EYW11" s="9"/>
      <c r="EYX11" s="6"/>
      <c r="EZI11" s="6"/>
      <c r="EZJ11" s="6"/>
      <c r="EZK11" s="9"/>
      <c r="EZL11" s="6"/>
      <c r="EZW11" s="6"/>
      <c r="EZX11" s="6"/>
      <c r="EZY11" s="9"/>
      <c r="EZZ11" s="6"/>
      <c r="FAK11" s="6"/>
      <c r="FAL11" s="6"/>
      <c r="FAM11" s="9"/>
      <c r="FAN11" s="6"/>
      <c r="FAY11" s="6"/>
      <c r="FAZ11" s="6"/>
      <c r="FBA11" s="9"/>
      <c r="FBB11" s="6"/>
      <c r="FBM11" s="6"/>
      <c r="FBN11" s="6"/>
      <c r="FBO11" s="9"/>
      <c r="FBP11" s="6"/>
      <c r="FCA11" s="6"/>
      <c r="FCB11" s="6"/>
      <c r="FCC11" s="9"/>
      <c r="FCD11" s="6"/>
      <c r="FCO11" s="6"/>
      <c r="FCP11" s="6"/>
      <c r="FCQ11" s="9"/>
      <c r="FCR11" s="6"/>
      <c r="FDC11" s="6"/>
      <c r="FDD11" s="6"/>
      <c r="FDE11" s="9"/>
      <c r="FDF11" s="6"/>
      <c r="FDQ11" s="6"/>
      <c r="FDR11" s="6"/>
      <c r="FDS11" s="9"/>
      <c r="FDT11" s="6"/>
      <c r="FEE11" s="6"/>
      <c r="FEF11" s="6"/>
      <c r="FEG11" s="9"/>
      <c r="FEH11" s="6"/>
      <c r="FES11" s="6"/>
      <c r="FET11" s="6"/>
      <c r="FEU11" s="9"/>
      <c r="FEV11" s="6"/>
      <c r="FFG11" s="6"/>
      <c r="FFH11" s="6"/>
      <c r="FFI11" s="9"/>
      <c r="FFJ11" s="6"/>
      <c r="FFU11" s="6"/>
      <c r="FFV11" s="6"/>
      <c r="FFW11" s="9"/>
      <c r="FFX11" s="6"/>
      <c r="FGI11" s="6"/>
      <c r="FGJ11" s="6"/>
      <c r="FGK11" s="9"/>
      <c r="FGL11" s="6"/>
      <c r="FGW11" s="6"/>
      <c r="FGX11" s="6"/>
      <c r="FGY11" s="9"/>
      <c r="FGZ11" s="6"/>
      <c r="FHK11" s="6"/>
      <c r="FHL11" s="6"/>
      <c r="FHM11" s="9"/>
      <c r="FHN11" s="6"/>
      <c r="FHY11" s="6"/>
      <c r="FHZ11" s="6"/>
      <c r="FIA11" s="9"/>
      <c r="FIB11" s="6"/>
      <c r="FIM11" s="6"/>
      <c r="FIN11" s="6"/>
      <c r="FIO11" s="9"/>
      <c r="FIP11" s="6"/>
      <c r="FJA11" s="6"/>
      <c r="FJB11" s="6"/>
      <c r="FJC11" s="9"/>
      <c r="FJD11" s="6"/>
      <c r="FJO11" s="6"/>
      <c r="FJP11" s="6"/>
      <c r="FJQ11" s="9"/>
      <c r="FJR11" s="6"/>
      <c r="FKC11" s="6"/>
      <c r="FKD11" s="6"/>
      <c r="FKE11" s="9"/>
      <c r="FKF11" s="6"/>
      <c r="FKQ11" s="6"/>
      <c r="FKR11" s="6"/>
      <c r="FKS11" s="9"/>
      <c r="FKT11" s="6"/>
      <c r="FLE11" s="6"/>
      <c r="FLF11" s="6"/>
      <c r="FLG11" s="9"/>
      <c r="FLH11" s="6"/>
      <c r="FLS11" s="6"/>
      <c r="FLT11" s="6"/>
      <c r="FLU11" s="9"/>
      <c r="FLV11" s="6"/>
      <c r="FMG11" s="6"/>
      <c r="FMH11" s="6"/>
      <c r="FMI11" s="9"/>
      <c r="FMJ11" s="6"/>
      <c r="FMU11" s="6"/>
      <c r="FMV11" s="6"/>
      <c r="FMW11" s="9"/>
      <c r="FMX11" s="6"/>
      <c r="FNI11" s="6"/>
      <c r="FNJ11" s="6"/>
      <c r="FNK11" s="9"/>
      <c r="FNL11" s="6"/>
      <c r="FNW11" s="6"/>
      <c r="FNX11" s="6"/>
      <c r="FNY11" s="9"/>
      <c r="FNZ11" s="6"/>
      <c r="FOK11" s="6"/>
      <c r="FOL11" s="6"/>
      <c r="FOM11" s="9"/>
      <c r="FON11" s="6"/>
      <c r="FOY11" s="6"/>
      <c r="FOZ11" s="6"/>
      <c r="FPA11" s="9"/>
      <c r="FPB11" s="6"/>
      <c r="FPM11" s="6"/>
      <c r="FPN11" s="6"/>
      <c r="FPO11" s="9"/>
      <c r="FPP11" s="6"/>
      <c r="FQA11" s="6"/>
      <c r="FQB11" s="6"/>
      <c r="FQC11" s="9"/>
      <c r="FQD11" s="6"/>
      <c r="FQO11" s="6"/>
      <c r="FQP11" s="6"/>
      <c r="FQQ11" s="9"/>
      <c r="FQR11" s="6"/>
      <c r="FRC11" s="6"/>
      <c r="FRD11" s="6"/>
      <c r="FRE11" s="9"/>
      <c r="FRF11" s="6"/>
      <c r="FRQ11" s="6"/>
      <c r="FRR11" s="6"/>
      <c r="FRS11" s="9"/>
      <c r="FRT11" s="6"/>
      <c r="FSE11" s="6"/>
      <c r="FSF11" s="6"/>
      <c r="FSG11" s="9"/>
      <c r="FSH11" s="6"/>
      <c r="FSS11" s="6"/>
      <c r="FST11" s="6"/>
      <c r="FSU11" s="9"/>
      <c r="FSV11" s="6"/>
      <c r="FTG11" s="6"/>
      <c r="FTH11" s="6"/>
      <c r="FTI11" s="9"/>
      <c r="FTJ11" s="6"/>
      <c r="FTU11" s="6"/>
      <c r="FTV11" s="6"/>
      <c r="FTW11" s="9"/>
      <c r="FTX11" s="6"/>
      <c r="FUI11" s="6"/>
      <c r="FUJ11" s="6"/>
      <c r="FUK11" s="9"/>
      <c r="FUL11" s="6"/>
      <c r="FUW11" s="6"/>
      <c r="FUX11" s="6"/>
      <c r="FUY11" s="9"/>
      <c r="FUZ11" s="6"/>
      <c r="FVK11" s="6"/>
      <c r="FVL11" s="6"/>
      <c r="FVM11" s="9"/>
      <c r="FVN11" s="6"/>
      <c r="FVY11" s="6"/>
      <c r="FVZ11" s="6"/>
      <c r="FWA11" s="9"/>
      <c r="FWB11" s="6"/>
      <c r="FWM11" s="6"/>
      <c r="FWN11" s="6"/>
      <c r="FWO11" s="9"/>
      <c r="FWP11" s="6"/>
      <c r="FXA11" s="6"/>
      <c r="FXB11" s="6"/>
      <c r="FXC11" s="9"/>
      <c r="FXD11" s="6"/>
      <c r="FXO11" s="6"/>
      <c r="FXP11" s="6"/>
      <c r="FXQ11" s="9"/>
      <c r="FXR11" s="6"/>
      <c r="FYC11" s="6"/>
      <c r="FYD11" s="6"/>
      <c r="FYE11" s="9"/>
      <c r="FYF11" s="6"/>
      <c r="FYQ11" s="6"/>
      <c r="FYR11" s="6"/>
      <c r="FYS11" s="9"/>
      <c r="FYT11" s="6"/>
      <c r="FZE11" s="6"/>
      <c r="FZF11" s="6"/>
      <c r="FZG11" s="9"/>
      <c r="FZH11" s="6"/>
      <c r="FZS11" s="6"/>
      <c r="FZT11" s="6"/>
      <c r="FZU11" s="9"/>
      <c r="FZV11" s="6"/>
      <c r="GAG11" s="6"/>
      <c r="GAH11" s="6"/>
      <c r="GAI11" s="9"/>
      <c r="GAJ11" s="6"/>
      <c r="GAU11" s="6"/>
      <c r="GAV11" s="6"/>
      <c r="GAW11" s="9"/>
      <c r="GAX11" s="6"/>
      <c r="GBI11" s="6"/>
      <c r="GBJ11" s="6"/>
      <c r="GBK11" s="9"/>
      <c r="GBL11" s="6"/>
      <c r="GBW11" s="6"/>
      <c r="GBX11" s="6"/>
      <c r="GBY11" s="9"/>
      <c r="GBZ11" s="6"/>
      <c r="GCK11" s="6"/>
      <c r="GCL11" s="6"/>
      <c r="GCM11" s="9"/>
      <c r="GCN11" s="6"/>
      <c r="GCY11" s="6"/>
      <c r="GCZ11" s="6"/>
      <c r="GDA11" s="9"/>
      <c r="GDB11" s="6"/>
      <c r="GDM11" s="6"/>
      <c r="GDN11" s="6"/>
      <c r="GDO11" s="9"/>
      <c r="GDP11" s="6"/>
      <c r="GEA11" s="6"/>
      <c r="GEB11" s="6"/>
      <c r="GEC11" s="9"/>
      <c r="GED11" s="6"/>
      <c r="GEO11" s="6"/>
      <c r="GEP11" s="6"/>
      <c r="GEQ11" s="9"/>
      <c r="GER11" s="6"/>
      <c r="GFC11" s="6"/>
      <c r="GFD11" s="6"/>
      <c r="GFE11" s="9"/>
      <c r="GFF11" s="6"/>
      <c r="GFQ11" s="6"/>
      <c r="GFR11" s="6"/>
      <c r="GFS11" s="9"/>
      <c r="GFT11" s="6"/>
      <c r="GGE11" s="6"/>
      <c r="GGF11" s="6"/>
      <c r="GGG11" s="9"/>
      <c r="GGH11" s="6"/>
      <c r="GGS11" s="6"/>
      <c r="GGT11" s="6"/>
      <c r="GGU11" s="9"/>
      <c r="GGV11" s="6"/>
      <c r="GHG11" s="6"/>
      <c r="GHH11" s="6"/>
      <c r="GHI11" s="9"/>
      <c r="GHJ11" s="6"/>
      <c r="GHU11" s="6"/>
      <c r="GHV11" s="6"/>
      <c r="GHW11" s="9"/>
      <c r="GHX11" s="6"/>
      <c r="GII11" s="6"/>
      <c r="GIJ11" s="6"/>
      <c r="GIK11" s="9"/>
      <c r="GIL11" s="6"/>
      <c r="GIW11" s="6"/>
      <c r="GIX11" s="6"/>
      <c r="GIY11" s="9"/>
      <c r="GIZ11" s="6"/>
      <c r="GJK11" s="6"/>
      <c r="GJL11" s="6"/>
      <c r="GJM11" s="9"/>
      <c r="GJN11" s="6"/>
      <c r="GJY11" s="6"/>
      <c r="GJZ11" s="6"/>
      <c r="GKA11" s="9"/>
      <c r="GKB11" s="6"/>
      <c r="GKM11" s="6"/>
      <c r="GKN11" s="6"/>
      <c r="GKO11" s="9"/>
      <c r="GKP11" s="6"/>
      <c r="GLA11" s="6"/>
      <c r="GLB11" s="6"/>
      <c r="GLC11" s="9"/>
      <c r="GLD11" s="6"/>
      <c r="GLO11" s="6"/>
      <c r="GLP11" s="6"/>
      <c r="GLQ11" s="9"/>
      <c r="GLR11" s="6"/>
      <c r="GMC11" s="6"/>
      <c r="GMD11" s="6"/>
      <c r="GME11" s="9"/>
      <c r="GMF11" s="6"/>
      <c r="GMQ11" s="6"/>
      <c r="GMR11" s="6"/>
      <c r="GMS11" s="9"/>
      <c r="GMT11" s="6"/>
      <c r="GNE11" s="6"/>
      <c r="GNF11" s="6"/>
      <c r="GNG11" s="9"/>
      <c r="GNH11" s="6"/>
      <c r="GNS11" s="6"/>
      <c r="GNT11" s="6"/>
      <c r="GNU11" s="9"/>
      <c r="GNV11" s="6"/>
      <c r="GOG11" s="6"/>
      <c r="GOH11" s="6"/>
      <c r="GOI11" s="9"/>
      <c r="GOJ11" s="6"/>
      <c r="GOU11" s="6"/>
      <c r="GOV11" s="6"/>
      <c r="GOW11" s="9"/>
      <c r="GOX11" s="6"/>
      <c r="GPI11" s="6"/>
      <c r="GPJ11" s="6"/>
      <c r="GPK11" s="9"/>
      <c r="GPL11" s="6"/>
      <c r="GPW11" s="6"/>
      <c r="GPX11" s="6"/>
      <c r="GPY11" s="9"/>
      <c r="GPZ11" s="6"/>
      <c r="GQK11" s="6"/>
      <c r="GQL11" s="6"/>
      <c r="GQM11" s="9"/>
      <c r="GQN11" s="6"/>
      <c r="GQY11" s="6"/>
      <c r="GQZ11" s="6"/>
      <c r="GRA11" s="9"/>
      <c r="GRB11" s="6"/>
      <c r="GRM11" s="6"/>
      <c r="GRN11" s="6"/>
      <c r="GRO11" s="9"/>
      <c r="GRP11" s="6"/>
      <c r="GSA11" s="6"/>
      <c r="GSB11" s="6"/>
      <c r="GSC11" s="9"/>
      <c r="GSD11" s="6"/>
      <c r="GSO11" s="6"/>
      <c r="GSP11" s="6"/>
      <c r="GSQ11" s="9"/>
      <c r="GSR11" s="6"/>
      <c r="GTC11" s="6"/>
      <c r="GTD11" s="6"/>
      <c r="GTE11" s="9"/>
      <c r="GTF11" s="6"/>
      <c r="GTQ11" s="6"/>
      <c r="GTR11" s="6"/>
      <c r="GTS11" s="9"/>
      <c r="GTT11" s="6"/>
      <c r="GUE11" s="6"/>
      <c r="GUF11" s="6"/>
      <c r="GUG11" s="9"/>
      <c r="GUH11" s="6"/>
      <c r="GUS11" s="6"/>
      <c r="GUT11" s="6"/>
      <c r="GUU11" s="9"/>
      <c r="GUV11" s="6"/>
      <c r="GVG11" s="6"/>
      <c r="GVH11" s="6"/>
      <c r="GVI11" s="9"/>
      <c r="GVJ11" s="6"/>
      <c r="GVU11" s="6"/>
      <c r="GVV11" s="6"/>
      <c r="GVW11" s="9"/>
      <c r="GVX11" s="6"/>
      <c r="GWI11" s="6"/>
      <c r="GWJ11" s="6"/>
      <c r="GWK11" s="9"/>
      <c r="GWL11" s="6"/>
      <c r="GWW11" s="6"/>
      <c r="GWX11" s="6"/>
      <c r="GWY11" s="9"/>
      <c r="GWZ11" s="6"/>
      <c r="GXK11" s="6"/>
      <c r="GXL11" s="6"/>
      <c r="GXM11" s="9"/>
      <c r="GXN11" s="6"/>
      <c r="GXY11" s="6"/>
      <c r="GXZ11" s="6"/>
      <c r="GYA11" s="9"/>
      <c r="GYB11" s="6"/>
      <c r="GYM11" s="6"/>
      <c r="GYN11" s="6"/>
      <c r="GYO11" s="9"/>
      <c r="GYP11" s="6"/>
      <c r="GZA11" s="6"/>
      <c r="GZB11" s="6"/>
      <c r="GZC11" s="9"/>
      <c r="GZD11" s="6"/>
      <c r="GZO11" s="6"/>
      <c r="GZP11" s="6"/>
      <c r="GZQ11" s="9"/>
      <c r="GZR11" s="6"/>
      <c r="HAC11" s="6"/>
      <c r="HAD11" s="6"/>
      <c r="HAE11" s="9"/>
      <c r="HAF11" s="6"/>
      <c r="HAQ11" s="6"/>
      <c r="HAR11" s="6"/>
      <c r="HAS11" s="9"/>
      <c r="HAT11" s="6"/>
      <c r="HBE11" s="6"/>
      <c r="HBF11" s="6"/>
      <c r="HBG11" s="9"/>
      <c r="HBH11" s="6"/>
      <c r="HBS11" s="6"/>
      <c r="HBT11" s="6"/>
      <c r="HBU11" s="9"/>
      <c r="HBV11" s="6"/>
      <c r="HCG11" s="6"/>
      <c r="HCH11" s="6"/>
      <c r="HCI11" s="9"/>
      <c r="HCJ11" s="6"/>
      <c r="HCU11" s="6"/>
      <c r="HCV11" s="6"/>
      <c r="HCW11" s="9"/>
      <c r="HCX11" s="6"/>
      <c r="HDI11" s="6"/>
      <c r="HDJ11" s="6"/>
      <c r="HDK11" s="9"/>
      <c r="HDL11" s="6"/>
      <c r="HDW11" s="6"/>
      <c r="HDX11" s="6"/>
      <c r="HDY11" s="9"/>
      <c r="HDZ11" s="6"/>
      <c r="HEK11" s="6"/>
      <c r="HEL11" s="6"/>
      <c r="HEM11" s="9"/>
      <c r="HEN11" s="6"/>
      <c r="HEY11" s="6"/>
      <c r="HEZ11" s="6"/>
      <c r="HFA11" s="9"/>
      <c r="HFB11" s="6"/>
      <c r="HFM11" s="6"/>
      <c r="HFN11" s="6"/>
      <c r="HFO11" s="9"/>
      <c r="HFP11" s="6"/>
      <c r="HGA11" s="6"/>
      <c r="HGB11" s="6"/>
      <c r="HGC11" s="9"/>
      <c r="HGD11" s="6"/>
      <c r="HGO11" s="6"/>
      <c r="HGP11" s="6"/>
      <c r="HGQ11" s="9"/>
      <c r="HGR11" s="6"/>
      <c r="HHC11" s="6"/>
      <c r="HHD11" s="6"/>
      <c r="HHE11" s="9"/>
      <c r="HHF11" s="6"/>
      <c r="HHQ11" s="6"/>
      <c r="HHR11" s="6"/>
      <c r="HHS11" s="9"/>
      <c r="HHT11" s="6"/>
      <c r="HIE11" s="6"/>
      <c r="HIF11" s="6"/>
      <c r="HIG11" s="9"/>
      <c r="HIH11" s="6"/>
      <c r="HIS11" s="6"/>
      <c r="HIT11" s="6"/>
      <c r="HIU11" s="9"/>
      <c r="HIV11" s="6"/>
      <c r="HJG11" s="6"/>
      <c r="HJH11" s="6"/>
      <c r="HJI11" s="9"/>
      <c r="HJJ11" s="6"/>
      <c r="HJU11" s="6"/>
      <c r="HJV11" s="6"/>
      <c r="HJW11" s="9"/>
      <c r="HJX11" s="6"/>
      <c r="HKI11" s="6"/>
      <c r="HKJ11" s="6"/>
      <c r="HKK11" s="9"/>
      <c r="HKL11" s="6"/>
      <c r="HKW11" s="6"/>
      <c r="HKX11" s="6"/>
      <c r="HKY11" s="9"/>
      <c r="HKZ11" s="6"/>
      <c r="HLK11" s="6"/>
      <c r="HLL11" s="6"/>
      <c r="HLM11" s="9"/>
      <c r="HLN11" s="6"/>
      <c r="HLY11" s="6"/>
      <c r="HLZ11" s="6"/>
      <c r="HMA11" s="9"/>
      <c r="HMB11" s="6"/>
      <c r="HMM11" s="6"/>
      <c r="HMN11" s="6"/>
      <c r="HMO11" s="9"/>
      <c r="HMP11" s="6"/>
      <c r="HNA11" s="6"/>
      <c r="HNB11" s="6"/>
      <c r="HNC11" s="9"/>
      <c r="HND11" s="6"/>
      <c r="HNO11" s="6"/>
      <c r="HNP11" s="6"/>
      <c r="HNQ11" s="9"/>
      <c r="HNR11" s="6"/>
      <c r="HOC11" s="6"/>
      <c r="HOD11" s="6"/>
      <c r="HOE11" s="9"/>
      <c r="HOF11" s="6"/>
      <c r="HOQ11" s="6"/>
      <c r="HOR11" s="6"/>
      <c r="HOS11" s="9"/>
      <c r="HOT11" s="6"/>
      <c r="HPE11" s="6"/>
      <c r="HPF11" s="6"/>
      <c r="HPG11" s="9"/>
      <c r="HPH11" s="6"/>
      <c r="HPS11" s="6"/>
      <c r="HPT11" s="6"/>
      <c r="HPU11" s="9"/>
      <c r="HPV11" s="6"/>
      <c r="HQG11" s="6"/>
      <c r="HQH11" s="6"/>
      <c r="HQI11" s="9"/>
      <c r="HQJ11" s="6"/>
      <c r="HQU11" s="6"/>
      <c r="HQV11" s="6"/>
      <c r="HQW11" s="9"/>
      <c r="HQX11" s="6"/>
      <c r="HRI11" s="6"/>
      <c r="HRJ11" s="6"/>
      <c r="HRK11" s="9"/>
      <c r="HRL11" s="6"/>
      <c r="HRW11" s="6"/>
      <c r="HRX11" s="6"/>
      <c r="HRY11" s="9"/>
      <c r="HRZ11" s="6"/>
      <c r="HSK11" s="6"/>
      <c r="HSL11" s="6"/>
      <c r="HSM11" s="9"/>
      <c r="HSN11" s="6"/>
      <c r="HSY11" s="6"/>
      <c r="HSZ11" s="6"/>
      <c r="HTA11" s="9"/>
      <c r="HTB11" s="6"/>
      <c r="HTM11" s="6"/>
      <c r="HTN11" s="6"/>
      <c r="HTO11" s="9"/>
      <c r="HTP11" s="6"/>
      <c r="HUA11" s="6"/>
      <c r="HUB11" s="6"/>
      <c r="HUC11" s="9"/>
      <c r="HUD11" s="6"/>
      <c r="HUO11" s="6"/>
      <c r="HUP11" s="6"/>
      <c r="HUQ11" s="9"/>
      <c r="HUR11" s="6"/>
      <c r="HVC11" s="6"/>
      <c r="HVD11" s="6"/>
      <c r="HVE11" s="9"/>
      <c r="HVF11" s="6"/>
      <c r="HVQ11" s="6"/>
      <c r="HVR11" s="6"/>
      <c r="HVS11" s="9"/>
      <c r="HVT11" s="6"/>
      <c r="HWE11" s="6"/>
      <c r="HWF11" s="6"/>
      <c r="HWG11" s="9"/>
      <c r="HWH11" s="6"/>
      <c r="HWS11" s="6"/>
      <c r="HWT11" s="6"/>
      <c r="HWU11" s="9"/>
      <c r="HWV11" s="6"/>
      <c r="HXG11" s="6"/>
      <c r="HXH11" s="6"/>
      <c r="HXI11" s="9"/>
      <c r="HXJ11" s="6"/>
      <c r="HXU11" s="6"/>
      <c r="HXV11" s="6"/>
      <c r="HXW11" s="9"/>
      <c r="HXX11" s="6"/>
      <c r="HYI11" s="6"/>
      <c r="HYJ11" s="6"/>
      <c r="HYK11" s="9"/>
      <c r="HYL11" s="6"/>
      <c r="HYW11" s="6"/>
      <c r="HYX11" s="6"/>
      <c r="HYY11" s="9"/>
      <c r="HYZ11" s="6"/>
      <c r="HZK11" s="6"/>
      <c r="HZL11" s="6"/>
      <c r="HZM11" s="9"/>
      <c r="HZN11" s="6"/>
      <c r="HZY11" s="6"/>
      <c r="HZZ11" s="6"/>
      <c r="IAA11" s="9"/>
      <c r="IAB11" s="6"/>
      <c r="IAM11" s="6"/>
      <c r="IAN11" s="6"/>
      <c r="IAO11" s="9"/>
      <c r="IAP11" s="6"/>
      <c r="IBA11" s="6"/>
      <c r="IBB11" s="6"/>
      <c r="IBC11" s="9"/>
      <c r="IBD11" s="6"/>
      <c r="IBO11" s="6"/>
      <c r="IBP11" s="6"/>
      <c r="IBQ11" s="9"/>
      <c r="IBR11" s="6"/>
      <c r="ICC11" s="6"/>
      <c r="ICD11" s="6"/>
      <c r="ICE11" s="9"/>
      <c r="ICF11" s="6"/>
      <c r="ICQ11" s="6"/>
      <c r="ICR11" s="6"/>
      <c r="ICS11" s="9"/>
      <c r="ICT11" s="6"/>
      <c r="IDE11" s="6"/>
      <c r="IDF11" s="6"/>
      <c r="IDG11" s="9"/>
      <c r="IDH11" s="6"/>
      <c r="IDS11" s="6"/>
      <c r="IDT11" s="6"/>
      <c r="IDU11" s="9"/>
      <c r="IDV11" s="6"/>
      <c r="IEG11" s="6"/>
      <c r="IEH11" s="6"/>
      <c r="IEI11" s="9"/>
      <c r="IEJ11" s="6"/>
      <c r="IEU11" s="6"/>
      <c r="IEV11" s="6"/>
      <c r="IEW11" s="9"/>
      <c r="IEX11" s="6"/>
      <c r="IFI11" s="6"/>
      <c r="IFJ11" s="6"/>
      <c r="IFK11" s="9"/>
      <c r="IFL11" s="6"/>
      <c r="IFW11" s="6"/>
      <c r="IFX11" s="6"/>
      <c r="IFY11" s="9"/>
      <c r="IFZ11" s="6"/>
      <c r="IGK11" s="6"/>
      <c r="IGL11" s="6"/>
      <c r="IGM11" s="9"/>
      <c r="IGN11" s="6"/>
      <c r="IGY11" s="6"/>
      <c r="IGZ11" s="6"/>
      <c r="IHA11" s="9"/>
      <c r="IHB11" s="6"/>
      <c r="IHM11" s="6"/>
      <c r="IHN11" s="6"/>
      <c r="IHO11" s="9"/>
      <c r="IHP11" s="6"/>
      <c r="IIA11" s="6"/>
      <c r="IIB11" s="6"/>
      <c r="IIC11" s="9"/>
      <c r="IID11" s="6"/>
      <c r="IIO11" s="6"/>
      <c r="IIP11" s="6"/>
      <c r="IIQ11" s="9"/>
      <c r="IIR11" s="6"/>
      <c r="IJC11" s="6"/>
      <c r="IJD11" s="6"/>
      <c r="IJE11" s="9"/>
      <c r="IJF11" s="6"/>
      <c r="IJQ11" s="6"/>
      <c r="IJR11" s="6"/>
      <c r="IJS11" s="9"/>
      <c r="IJT11" s="6"/>
      <c r="IKE11" s="6"/>
      <c r="IKF11" s="6"/>
      <c r="IKG11" s="9"/>
      <c r="IKH11" s="6"/>
      <c r="IKS11" s="6"/>
      <c r="IKT11" s="6"/>
      <c r="IKU11" s="9"/>
      <c r="IKV11" s="6"/>
      <c r="ILG11" s="6"/>
      <c r="ILH11" s="6"/>
      <c r="ILI11" s="9"/>
      <c r="ILJ11" s="6"/>
      <c r="ILU11" s="6"/>
      <c r="ILV11" s="6"/>
      <c r="ILW11" s="9"/>
      <c r="ILX11" s="6"/>
      <c r="IMI11" s="6"/>
      <c r="IMJ11" s="6"/>
      <c r="IMK11" s="9"/>
      <c r="IML11" s="6"/>
      <c r="IMW11" s="6"/>
      <c r="IMX11" s="6"/>
      <c r="IMY11" s="9"/>
      <c r="IMZ11" s="6"/>
      <c r="INK11" s="6"/>
      <c r="INL11" s="6"/>
      <c r="INM11" s="9"/>
      <c r="INN11" s="6"/>
      <c r="INY11" s="6"/>
      <c r="INZ11" s="6"/>
      <c r="IOA11" s="9"/>
      <c r="IOB11" s="6"/>
      <c r="IOM11" s="6"/>
      <c r="ION11" s="6"/>
      <c r="IOO11" s="9"/>
      <c r="IOP11" s="6"/>
      <c r="IPA11" s="6"/>
      <c r="IPB11" s="6"/>
      <c r="IPC11" s="9"/>
      <c r="IPD11" s="6"/>
      <c r="IPO11" s="6"/>
      <c r="IPP11" s="6"/>
      <c r="IPQ11" s="9"/>
      <c r="IPR11" s="6"/>
      <c r="IQC11" s="6"/>
      <c r="IQD11" s="6"/>
      <c r="IQE11" s="9"/>
      <c r="IQF11" s="6"/>
      <c r="IQQ11" s="6"/>
      <c r="IQR11" s="6"/>
      <c r="IQS11" s="9"/>
      <c r="IQT11" s="6"/>
      <c r="IRE11" s="6"/>
      <c r="IRF11" s="6"/>
      <c r="IRG11" s="9"/>
      <c r="IRH11" s="6"/>
      <c r="IRS11" s="6"/>
      <c r="IRT11" s="6"/>
      <c r="IRU11" s="9"/>
      <c r="IRV11" s="6"/>
      <c r="ISG11" s="6"/>
      <c r="ISH11" s="6"/>
      <c r="ISI11" s="9"/>
      <c r="ISJ11" s="6"/>
      <c r="ISU11" s="6"/>
      <c r="ISV11" s="6"/>
      <c r="ISW11" s="9"/>
      <c r="ISX11" s="6"/>
      <c r="ITI11" s="6"/>
      <c r="ITJ11" s="6"/>
      <c r="ITK11" s="9"/>
      <c r="ITL11" s="6"/>
      <c r="ITW11" s="6"/>
      <c r="ITX11" s="6"/>
      <c r="ITY11" s="9"/>
      <c r="ITZ11" s="6"/>
      <c r="IUK11" s="6"/>
      <c r="IUL11" s="6"/>
      <c r="IUM11" s="9"/>
      <c r="IUN11" s="6"/>
      <c r="IUY11" s="6"/>
      <c r="IUZ11" s="6"/>
      <c r="IVA11" s="9"/>
      <c r="IVB11" s="6"/>
      <c r="IVM11" s="6"/>
      <c r="IVN11" s="6"/>
      <c r="IVO11" s="9"/>
      <c r="IVP11" s="6"/>
      <c r="IWA11" s="6"/>
      <c r="IWB11" s="6"/>
      <c r="IWC11" s="9"/>
      <c r="IWD11" s="6"/>
      <c r="IWO11" s="6"/>
      <c r="IWP11" s="6"/>
      <c r="IWQ11" s="9"/>
      <c r="IWR11" s="6"/>
      <c r="IXC11" s="6"/>
      <c r="IXD11" s="6"/>
      <c r="IXE11" s="9"/>
      <c r="IXF11" s="6"/>
      <c r="IXQ11" s="6"/>
      <c r="IXR11" s="6"/>
      <c r="IXS11" s="9"/>
      <c r="IXT11" s="6"/>
      <c r="IYE11" s="6"/>
      <c r="IYF11" s="6"/>
      <c r="IYG11" s="9"/>
      <c r="IYH11" s="6"/>
      <c r="IYS11" s="6"/>
      <c r="IYT11" s="6"/>
      <c r="IYU11" s="9"/>
      <c r="IYV11" s="6"/>
      <c r="IZG11" s="6"/>
      <c r="IZH11" s="6"/>
      <c r="IZI11" s="9"/>
      <c r="IZJ11" s="6"/>
      <c r="IZU11" s="6"/>
      <c r="IZV11" s="6"/>
      <c r="IZW11" s="9"/>
      <c r="IZX11" s="6"/>
      <c r="JAI11" s="6"/>
      <c r="JAJ11" s="6"/>
      <c r="JAK11" s="9"/>
      <c r="JAL11" s="6"/>
      <c r="JAW11" s="6"/>
      <c r="JAX11" s="6"/>
      <c r="JAY11" s="9"/>
      <c r="JAZ11" s="6"/>
      <c r="JBK11" s="6"/>
      <c r="JBL11" s="6"/>
      <c r="JBM11" s="9"/>
      <c r="JBN11" s="6"/>
      <c r="JBY11" s="6"/>
      <c r="JBZ11" s="6"/>
      <c r="JCA11" s="9"/>
      <c r="JCB11" s="6"/>
      <c r="JCM11" s="6"/>
      <c r="JCN11" s="6"/>
      <c r="JCO11" s="9"/>
      <c r="JCP11" s="6"/>
      <c r="JDA11" s="6"/>
      <c r="JDB11" s="6"/>
      <c r="JDC11" s="9"/>
      <c r="JDD11" s="6"/>
      <c r="JDO11" s="6"/>
      <c r="JDP11" s="6"/>
      <c r="JDQ11" s="9"/>
      <c r="JDR11" s="6"/>
      <c r="JEC11" s="6"/>
      <c r="JED11" s="6"/>
      <c r="JEE11" s="9"/>
      <c r="JEF11" s="6"/>
      <c r="JEQ11" s="6"/>
      <c r="JER11" s="6"/>
      <c r="JES11" s="9"/>
      <c r="JET11" s="6"/>
      <c r="JFE11" s="6"/>
      <c r="JFF11" s="6"/>
      <c r="JFG11" s="9"/>
      <c r="JFH11" s="6"/>
      <c r="JFS11" s="6"/>
      <c r="JFT11" s="6"/>
      <c r="JFU11" s="9"/>
      <c r="JFV11" s="6"/>
      <c r="JGG11" s="6"/>
      <c r="JGH11" s="6"/>
      <c r="JGI11" s="9"/>
      <c r="JGJ11" s="6"/>
      <c r="JGU11" s="6"/>
      <c r="JGV11" s="6"/>
      <c r="JGW11" s="9"/>
      <c r="JGX11" s="6"/>
      <c r="JHI11" s="6"/>
      <c r="JHJ11" s="6"/>
      <c r="JHK11" s="9"/>
      <c r="JHL11" s="6"/>
      <c r="JHW11" s="6"/>
      <c r="JHX11" s="6"/>
      <c r="JHY11" s="9"/>
      <c r="JHZ11" s="6"/>
      <c r="JIK11" s="6"/>
      <c r="JIL11" s="6"/>
      <c r="JIM11" s="9"/>
      <c r="JIN11" s="6"/>
      <c r="JIY11" s="6"/>
      <c r="JIZ11" s="6"/>
      <c r="JJA11" s="9"/>
      <c r="JJB11" s="6"/>
      <c r="JJM11" s="6"/>
      <c r="JJN11" s="6"/>
      <c r="JJO11" s="9"/>
      <c r="JJP11" s="6"/>
      <c r="JKA11" s="6"/>
      <c r="JKB11" s="6"/>
      <c r="JKC11" s="9"/>
      <c r="JKD11" s="6"/>
      <c r="JKO11" s="6"/>
      <c r="JKP11" s="6"/>
      <c r="JKQ11" s="9"/>
      <c r="JKR11" s="6"/>
      <c r="JLC11" s="6"/>
      <c r="JLD11" s="6"/>
      <c r="JLE11" s="9"/>
      <c r="JLF11" s="6"/>
      <c r="JLQ11" s="6"/>
      <c r="JLR11" s="6"/>
      <c r="JLS11" s="9"/>
      <c r="JLT11" s="6"/>
      <c r="JME11" s="6"/>
      <c r="JMF11" s="6"/>
      <c r="JMG11" s="9"/>
      <c r="JMH11" s="6"/>
      <c r="JMS11" s="6"/>
      <c r="JMT11" s="6"/>
      <c r="JMU11" s="9"/>
      <c r="JMV11" s="6"/>
      <c r="JNG11" s="6"/>
      <c r="JNH11" s="6"/>
      <c r="JNI11" s="9"/>
      <c r="JNJ11" s="6"/>
      <c r="JNU11" s="6"/>
      <c r="JNV11" s="6"/>
      <c r="JNW11" s="9"/>
      <c r="JNX11" s="6"/>
      <c r="JOI11" s="6"/>
      <c r="JOJ11" s="6"/>
      <c r="JOK11" s="9"/>
      <c r="JOL11" s="6"/>
      <c r="JOW11" s="6"/>
      <c r="JOX11" s="6"/>
      <c r="JOY11" s="9"/>
      <c r="JOZ11" s="6"/>
      <c r="JPK11" s="6"/>
      <c r="JPL11" s="6"/>
      <c r="JPM11" s="9"/>
      <c r="JPN11" s="6"/>
      <c r="JPY11" s="6"/>
      <c r="JPZ11" s="6"/>
      <c r="JQA11" s="9"/>
      <c r="JQB11" s="6"/>
      <c r="JQM11" s="6"/>
      <c r="JQN11" s="6"/>
      <c r="JQO11" s="9"/>
      <c r="JQP11" s="6"/>
      <c r="JRA11" s="6"/>
      <c r="JRB11" s="6"/>
      <c r="JRC11" s="9"/>
      <c r="JRD11" s="6"/>
      <c r="JRO11" s="6"/>
      <c r="JRP11" s="6"/>
      <c r="JRQ11" s="9"/>
      <c r="JRR11" s="6"/>
      <c r="JSC11" s="6"/>
      <c r="JSD11" s="6"/>
      <c r="JSE11" s="9"/>
      <c r="JSF11" s="6"/>
      <c r="JSQ11" s="6"/>
      <c r="JSR11" s="6"/>
      <c r="JSS11" s="9"/>
      <c r="JST11" s="6"/>
      <c r="JTE11" s="6"/>
      <c r="JTF11" s="6"/>
      <c r="JTG11" s="9"/>
      <c r="JTH11" s="6"/>
      <c r="JTS11" s="6"/>
      <c r="JTT11" s="6"/>
      <c r="JTU11" s="9"/>
      <c r="JTV11" s="6"/>
      <c r="JUG11" s="6"/>
      <c r="JUH11" s="6"/>
      <c r="JUI11" s="9"/>
      <c r="JUJ11" s="6"/>
      <c r="JUU11" s="6"/>
      <c r="JUV11" s="6"/>
      <c r="JUW11" s="9"/>
      <c r="JUX11" s="6"/>
      <c r="JVI11" s="6"/>
      <c r="JVJ11" s="6"/>
      <c r="JVK11" s="9"/>
      <c r="JVL11" s="6"/>
      <c r="JVW11" s="6"/>
      <c r="JVX11" s="6"/>
      <c r="JVY11" s="9"/>
      <c r="JVZ11" s="6"/>
      <c r="JWK11" s="6"/>
      <c r="JWL11" s="6"/>
      <c r="JWM11" s="9"/>
      <c r="JWN11" s="6"/>
      <c r="JWY11" s="6"/>
      <c r="JWZ11" s="6"/>
      <c r="JXA11" s="9"/>
      <c r="JXB11" s="6"/>
      <c r="JXM11" s="6"/>
      <c r="JXN11" s="6"/>
      <c r="JXO11" s="9"/>
      <c r="JXP11" s="6"/>
      <c r="JYA11" s="6"/>
      <c r="JYB11" s="6"/>
      <c r="JYC11" s="9"/>
      <c r="JYD11" s="6"/>
      <c r="JYO11" s="6"/>
      <c r="JYP11" s="6"/>
      <c r="JYQ11" s="9"/>
      <c r="JYR11" s="6"/>
      <c r="JZC11" s="6"/>
      <c r="JZD11" s="6"/>
      <c r="JZE11" s="9"/>
      <c r="JZF11" s="6"/>
      <c r="JZQ11" s="6"/>
      <c r="JZR11" s="6"/>
      <c r="JZS11" s="9"/>
      <c r="JZT11" s="6"/>
      <c r="KAE11" s="6"/>
      <c r="KAF11" s="6"/>
      <c r="KAG11" s="9"/>
      <c r="KAH11" s="6"/>
      <c r="KAS11" s="6"/>
      <c r="KAT11" s="6"/>
      <c r="KAU11" s="9"/>
      <c r="KAV11" s="6"/>
      <c r="KBG11" s="6"/>
      <c r="KBH11" s="6"/>
      <c r="KBI11" s="9"/>
      <c r="KBJ11" s="6"/>
      <c r="KBU11" s="6"/>
      <c r="KBV11" s="6"/>
      <c r="KBW11" s="9"/>
      <c r="KBX11" s="6"/>
      <c r="KCI11" s="6"/>
      <c r="KCJ11" s="6"/>
      <c r="KCK11" s="9"/>
      <c r="KCL11" s="6"/>
      <c r="KCW11" s="6"/>
      <c r="KCX11" s="6"/>
      <c r="KCY11" s="9"/>
      <c r="KCZ11" s="6"/>
      <c r="KDK11" s="6"/>
      <c r="KDL11" s="6"/>
      <c r="KDM11" s="9"/>
      <c r="KDN11" s="6"/>
      <c r="KDY11" s="6"/>
      <c r="KDZ11" s="6"/>
      <c r="KEA11" s="9"/>
      <c r="KEB11" s="6"/>
      <c r="KEM11" s="6"/>
      <c r="KEN11" s="6"/>
      <c r="KEO11" s="9"/>
      <c r="KEP11" s="6"/>
      <c r="KFA11" s="6"/>
      <c r="KFB11" s="6"/>
      <c r="KFC11" s="9"/>
      <c r="KFD11" s="6"/>
      <c r="KFO11" s="6"/>
      <c r="KFP11" s="6"/>
      <c r="KFQ11" s="9"/>
      <c r="KFR11" s="6"/>
      <c r="KGC11" s="6"/>
      <c r="KGD11" s="6"/>
      <c r="KGE11" s="9"/>
      <c r="KGF11" s="6"/>
      <c r="KGQ11" s="6"/>
      <c r="KGR11" s="6"/>
      <c r="KGS11" s="9"/>
      <c r="KGT11" s="6"/>
      <c r="KHE11" s="6"/>
      <c r="KHF11" s="6"/>
      <c r="KHG11" s="9"/>
      <c r="KHH11" s="6"/>
      <c r="KHS11" s="6"/>
      <c r="KHT11" s="6"/>
      <c r="KHU11" s="9"/>
      <c r="KHV11" s="6"/>
      <c r="KIG11" s="6"/>
      <c r="KIH11" s="6"/>
      <c r="KII11" s="9"/>
      <c r="KIJ11" s="6"/>
      <c r="KIU11" s="6"/>
      <c r="KIV11" s="6"/>
      <c r="KIW11" s="9"/>
      <c r="KIX11" s="6"/>
      <c r="KJI11" s="6"/>
      <c r="KJJ11" s="6"/>
      <c r="KJK11" s="9"/>
      <c r="KJL11" s="6"/>
      <c r="KJW11" s="6"/>
      <c r="KJX11" s="6"/>
      <c r="KJY11" s="9"/>
      <c r="KJZ11" s="6"/>
      <c r="KKK11" s="6"/>
      <c r="KKL11" s="6"/>
      <c r="KKM11" s="9"/>
      <c r="KKN11" s="6"/>
      <c r="KKY11" s="6"/>
      <c r="KKZ11" s="6"/>
      <c r="KLA11" s="9"/>
      <c r="KLB11" s="6"/>
      <c r="KLM11" s="6"/>
      <c r="KLN11" s="6"/>
      <c r="KLO11" s="9"/>
      <c r="KLP11" s="6"/>
      <c r="KMA11" s="6"/>
      <c r="KMB11" s="6"/>
      <c r="KMC11" s="9"/>
      <c r="KMD11" s="6"/>
      <c r="KMO11" s="6"/>
      <c r="KMP11" s="6"/>
      <c r="KMQ11" s="9"/>
      <c r="KMR11" s="6"/>
      <c r="KNC11" s="6"/>
      <c r="KND11" s="6"/>
      <c r="KNE11" s="9"/>
      <c r="KNF11" s="6"/>
      <c r="KNQ11" s="6"/>
      <c r="KNR11" s="6"/>
      <c r="KNS11" s="9"/>
      <c r="KNT11" s="6"/>
      <c r="KOE11" s="6"/>
      <c r="KOF11" s="6"/>
      <c r="KOG11" s="9"/>
      <c r="KOH11" s="6"/>
      <c r="KOS11" s="6"/>
      <c r="KOT11" s="6"/>
      <c r="KOU11" s="9"/>
      <c r="KOV11" s="6"/>
      <c r="KPG11" s="6"/>
      <c r="KPH11" s="6"/>
      <c r="KPI11" s="9"/>
      <c r="KPJ11" s="6"/>
      <c r="KPU11" s="6"/>
      <c r="KPV11" s="6"/>
      <c r="KPW11" s="9"/>
      <c r="KPX11" s="6"/>
      <c r="KQI11" s="6"/>
      <c r="KQJ11" s="6"/>
      <c r="KQK11" s="9"/>
      <c r="KQL11" s="6"/>
      <c r="KQW11" s="6"/>
      <c r="KQX11" s="6"/>
      <c r="KQY11" s="9"/>
      <c r="KQZ11" s="6"/>
      <c r="KRK11" s="6"/>
      <c r="KRL11" s="6"/>
      <c r="KRM11" s="9"/>
      <c r="KRN11" s="6"/>
      <c r="KRY11" s="6"/>
      <c r="KRZ11" s="6"/>
      <c r="KSA11" s="9"/>
      <c r="KSB11" s="6"/>
      <c r="KSM11" s="6"/>
      <c r="KSN11" s="6"/>
      <c r="KSO11" s="9"/>
      <c r="KSP11" s="6"/>
      <c r="KTA11" s="6"/>
      <c r="KTB11" s="6"/>
      <c r="KTC11" s="9"/>
      <c r="KTD11" s="6"/>
      <c r="KTO11" s="6"/>
      <c r="KTP11" s="6"/>
      <c r="KTQ11" s="9"/>
      <c r="KTR11" s="6"/>
      <c r="KUC11" s="6"/>
      <c r="KUD11" s="6"/>
      <c r="KUE11" s="9"/>
      <c r="KUF11" s="6"/>
      <c r="KUQ11" s="6"/>
      <c r="KUR11" s="6"/>
      <c r="KUS11" s="9"/>
      <c r="KUT11" s="6"/>
      <c r="KVE11" s="6"/>
      <c r="KVF11" s="6"/>
      <c r="KVG11" s="9"/>
      <c r="KVH11" s="6"/>
      <c r="KVS11" s="6"/>
      <c r="KVT11" s="6"/>
      <c r="KVU11" s="9"/>
      <c r="KVV11" s="6"/>
      <c r="KWG11" s="6"/>
      <c r="KWH11" s="6"/>
      <c r="KWI11" s="9"/>
      <c r="KWJ11" s="6"/>
      <c r="KWU11" s="6"/>
      <c r="KWV11" s="6"/>
      <c r="KWW11" s="9"/>
      <c r="KWX11" s="6"/>
      <c r="KXI11" s="6"/>
      <c r="KXJ11" s="6"/>
      <c r="KXK11" s="9"/>
      <c r="KXL11" s="6"/>
      <c r="KXW11" s="6"/>
      <c r="KXX11" s="6"/>
      <c r="KXY11" s="9"/>
      <c r="KXZ11" s="6"/>
      <c r="KYK11" s="6"/>
      <c r="KYL11" s="6"/>
      <c r="KYM11" s="9"/>
      <c r="KYN11" s="6"/>
      <c r="KYY11" s="6"/>
      <c r="KYZ11" s="6"/>
      <c r="KZA11" s="9"/>
      <c r="KZB11" s="6"/>
      <c r="KZM11" s="6"/>
      <c r="KZN11" s="6"/>
      <c r="KZO11" s="9"/>
      <c r="KZP11" s="6"/>
      <c r="LAA11" s="6"/>
      <c r="LAB11" s="6"/>
      <c r="LAC11" s="9"/>
      <c r="LAD11" s="6"/>
      <c r="LAO11" s="6"/>
      <c r="LAP11" s="6"/>
      <c r="LAQ11" s="9"/>
      <c r="LAR11" s="6"/>
      <c r="LBC11" s="6"/>
      <c r="LBD11" s="6"/>
      <c r="LBE11" s="9"/>
      <c r="LBF11" s="6"/>
      <c r="LBQ11" s="6"/>
      <c r="LBR11" s="6"/>
      <c r="LBS11" s="9"/>
      <c r="LBT11" s="6"/>
      <c r="LCE11" s="6"/>
      <c r="LCF11" s="6"/>
      <c r="LCG11" s="9"/>
      <c r="LCH11" s="6"/>
      <c r="LCS11" s="6"/>
      <c r="LCT11" s="6"/>
      <c r="LCU11" s="9"/>
      <c r="LCV11" s="6"/>
      <c r="LDG11" s="6"/>
      <c r="LDH11" s="6"/>
      <c r="LDI11" s="9"/>
      <c r="LDJ11" s="6"/>
      <c r="LDU11" s="6"/>
      <c r="LDV11" s="6"/>
      <c r="LDW11" s="9"/>
      <c r="LDX11" s="6"/>
      <c r="LEI11" s="6"/>
      <c r="LEJ11" s="6"/>
      <c r="LEK11" s="9"/>
      <c r="LEL11" s="6"/>
      <c r="LEW11" s="6"/>
      <c r="LEX11" s="6"/>
      <c r="LEY11" s="9"/>
      <c r="LEZ11" s="6"/>
      <c r="LFK11" s="6"/>
      <c r="LFL11" s="6"/>
      <c r="LFM11" s="9"/>
      <c r="LFN11" s="6"/>
      <c r="LFY11" s="6"/>
      <c r="LFZ11" s="6"/>
      <c r="LGA11" s="9"/>
      <c r="LGB11" s="6"/>
      <c r="LGM11" s="6"/>
      <c r="LGN11" s="6"/>
      <c r="LGO11" s="9"/>
      <c r="LGP11" s="6"/>
      <c r="LHA11" s="6"/>
      <c r="LHB11" s="6"/>
      <c r="LHC11" s="9"/>
      <c r="LHD11" s="6"/>
      <c r="LHO11" s="6"/>
      <c r="LHP11" s="6"/>
      <c r="LHQ11" s="9"/>
      <c r="LHR11" s="6"/>
      <c r="LIC11" s="6"/>
      <c r="LID11" s="6"/>
      <c r="LIE11" s="9"/>
      <c r="LIF11" s="6"/>
      <c r="LIQ11" s="6"/>
      <c r="LIR11" s="6"/>
      <c r="LIS11" s="9"/>
      <c r="LIT11" s="6"/>
      <c r="LJE11" s="6"/>
      <c r="LJF11" s="6"/>
      <c r="LJG11" s="9"/>
      <c r="LJH11" s="6"/>
      <c r="LJS11" s="6"/>
      <c r="LJT11" s="6"/>
      <c r="LJU11" s="9"/>
      <c r="LJV11" s="6"/>
      <c r="LKG11" s="6"/>
      <c r="LKH11" s="6"/>
      <c r="LKI11" s="9"/>
      <c r="LKJ11" s="6"/>
      <c r="LKU11" s="6"/>
      <c r="LKV11" s="6"/>
      <c r="LKW11" s="9"/>
      <c r="LKX11" s="6"/>
      <c r="LLI11" s="6"/>
      <c r="LLJ11" s="6"/>
      <c r="LLK11" s="9"/>
      <c r="LLL11" s="6"/>
      <c r="LLW11" s="6"/>
      <c r="LLX11" s="6"/>
      <c r="LLY11" s="9"/>
      <c r="LLZ11" s="6"/>
      <c r="LMK11" s="6"/>
      <c r="LML11" s="6"/>
      <c r="LMM11" s="9"/>
      <c r="LMN11" s="6"/>
      <c r="LMY11" s="6"/>
      <c r="LMZ11" s="6"/>
      <c r="LNA11" s="9"/>
      <c r="LNB11" s="6"/>
      <c r="LNM11" s="6"/>
      <c r="LNN11" s="6"/>
      <c r="LNO11" s="9"/>
      <c r="LNP11" s="6"/>
      <c r="LOA11" s="6"/>
      <c r="LOB11" s="6"/>
      <c r="LOC11" s="9"/>
      <c r="LOD11" s="6"/>
      <c r="LOO11" s="6"/>
      <c r="LOP11" s="6"/>
      <c r="LOQ11" s="9"/>
      <c r="LOR11" s="6"/>
      <c r="LPC11" s="6"/>
      <c r="LPD11" s="6"/>
      <c r="LPE11" s="9"/>
      <c r="LPF11" s="6"/>
      <c r="LPQ11" s="6"/>
      <c r="LPR11" s="6"/>
      <c r="LPS11" s="9"/>
      <c r="LPT11" s="6"/>
      <c r="LQE11" s="6"/>
      <c r="LQF11" s="6"/>
      <c r="LQG11" s="9"/>
      <c r="LQH11" s="6"/>
      <c r="LQS11" s="6"/>
      <c r="LQT11" s="6"/>
      <c r="LQU11" s="9"/>
      <c r="LQV11" s="6"/>
      <c r="LRG11" s="6"/>
      <c r="LRH11" s="6"/>
      <c r="LRI11" s="9"/>
      <c r="LRJ11" s="6"/>
      <c r="LRU11" s="6"/>
      <c r="LRV11" s="6"/>
      <c r="LRW11" s="9"/>
      <c r="LRX11" s="6"/>
      <c r="LSI11" s="6"/>
      <c r="LSJ11" s="6"/>
      <c r="LSK11" s="9"/>
      <c r="LSL11" s="6"/>
      <c r="LSW11" s="6"/>
      <c r="LSX11" s="6"/>
      <c r="LSY11" s="9"/>
      <c r="LSZ11" s="6"/>
      <c r="LTK11" s="6"/>
      <c r="LTL11" s="6"/>
      <c r="LTM11" s="9"/>
      <c r="LTN11" s="6"/>
      <c r="LTY11" s="6"/>
      <c r="LTZ11" s="6"/>
      <c r="LUA11" s="9"/>
      <c r="LUB11" s="6"/>
      <c r="LUM11" s="6"/>
      <c r="LUN11" s="6"/>
      <c r="LUO11" s="9"/>
      <c r="LUP11" s="6"/>
      <c r="LVA11" s="6"/>
      <c r="LVB11" s="6"/>
      <c r="LVC11" s="9"/>
      <c r="LVD11" s="6"/>
      <c r="LVO11" s="6"/>
      <c r="LVP11" s="6"/>
      <c r="LVQ11" s="9"/>
      <c r="LVR11" s="6"/>
      <c r="LWC11" s="6"/>
      <c r="LWD11" s="6"/>
      <c r="LWE11" s="9"/>
      <c r="LWF11" s="6"/>
      <c r="LWQ11" s="6"/>
      <c r="LWR11" s="6"/>
      <c r="LWS11" s="9"/>
      <c r="LWT11" s="6"/>
      <c r="LXE11" s="6"/>
      <c r="LXF11" s="6"/>
      <c r="LXG11" s="9"/>
      <c r="LXH11" s="6"/>
      <c r="LXS11" s="6"/>
      <c r="LXT11" s="6"/>
      <c r="LXU11" s="9"/>
      <c r="LXV11" s="6"/>
      <c r="LYG11" s="6"/>
      <c r="LYH11" s="6"/>
      <c r="LYI11" s="9"/>
      <c r="LYJ11" s="6"/>
      <c r="LYU11" s="6"/>
      <c r="LYV11" s="6"/>
      <c r="LYW11" s="9"/>
      <c r="LYX11" s="6"/>
      <c r="LZI11" s="6"/>
      <c r="LZJ11" s="6"/>
      <c r="LZK11" s="9"/>
      <c r="LZL11" s="6"/>
      <c r="LZW11" s="6"/>
      <c r="LZX11" s="6"/>
      <c r="LZY11" s="9"/>
      <c r="LZZ11" s="6"/>
      <c r="MAK11" s="6"/>
      <c r="MAL11" s="6"/>
      <c r="MAM11" s="9"/>
      <c r="MAN11" s="6"/>
      <c r="MAY11" s="6"/>
      <c r="MAZ11" s="6"/>
      <c r="MBA11" s="9"/>
      <c r="MBB11" s="6"/>
      <c r="MBM11" s="6"/>
      <c r="MBN11" s="6"/>
      <c r="MBO11" s="9"/>
      <c r="MBP11" s="6"/>
      <c r="MCA11" s="6"/>
      <c r="MCB11" s="6"/>
      <c r="MCC11" s="9"/>
      <c r="MCD11" s="6"/>
      <c r="MCO11" s="6"/>
      <c r="MCP11" s="6"/>
      <c r="MCQ11" s="9"/>
      <c r="MCR11" s="6"/>
      <c r="MDC11" s="6"/>
      <c r="MDD11" s="6"/>
      <c r="MDE11" s="9"/>
      <c r="MDF11" s="6"/>
      <c r="MDQ11" s="6"/>
      <c r="MDR11" s="6"/>
      <c r="MDS11" s="9"/>
      <c r="MDT11" s="6"/>
      <c r="MEE11" s="6"/>
      <c r="MEF11" s="6"/>
      <c r="MEG11" s="9"/>
      <c r="MEH11" s="6"/>
      <c r="MES11" s="6"/>
      <c r="MET11" s="6"/>
      <c r="MEU11" s="9"/>
      <c r="MEV11" s="6"/>
      <c r="MFG11" s="6"/>
      <c r="MFH11" s="6"/>
      <c r="MFI11" s="9"/>
      <c r="MFJ11" s="6"/>
      <c r="MFU11" s="6"/>
      <c r="MFV11" s="6"/>
      <c r="MFW11" s="9"/>
      <c r="MFX11" s="6"/>
      <c r="MGI11" s="6"/>
      <c r="MGJ11" s="6"/>
      <c r="MGK11" s="9"/>
      <c r="MGL11" s="6"/>
      <c r="MGW11" s="6"/>
      <c r="MGX11" s="6"/>
      <c r="MGY11" s="9"/>
      <c r="MGZ11" s="6"/>
      <c r="MHK11" s="6"/>
      <c r="MHL11" s="6"/>
      <c r="MHM11" s="9"/>
      <c r="MHN11" s="6"/>
      <c r="MHY11" s="6"/>
      <c r="MHZ11" s="6"/>
      <c r="MIA11" s="9"/>
      <c r="MIB11" s="6"/>
      <c r="MIM11" s="6"/>
      <c r="MIN11" s="6"/>
      <c r="MIO11" s="9"/>
      <c r="MIP11" s="6"/>
      <c r="MJA11" s="6"/>
      <c r="MJB11" s="6"/>
      <c r="MJC11" s="9"/>
      <c r="MJD11" s="6"/>
      <c r="MJO11" s="6"/>
      <c r="MJP11" s="6"/>
      <c r="MJQ11" s="9"/>
      <c r="MJR11" s="6"/>
      <c r="MKC11" s="6"/>
      <c r="MKD11" s="6"/>
      <c r="MKE11" s="9"/>
      <c r="MKF11" s="6"/>
      <c r="MKQ11" s="6"/>
      <c r="MKR11" s="6"/>
      <c r="MKS11" s="9"/>
      <c r="MKT11" s="6"/>
      <c r="MLE11" s="6"/>
      <c r="MLF11" s="6"/>
      <c r="MLG11" s="9"/>
      <c r="MLH11" s="6"/>
      <c r="MLS11" s="6"/>
      <c r="MLT11" s="6"/>
      <c r="MLU11" s="9"/>
      <c r="MLV11" s="6"/>
      <c r="MMG11" s="6"/>
      <c r="MMH11" s="6"/>
      <c r="MMI11" s="9"/>
      <c r="MMJ11" s="6"/>
      <c r="MMU11" s="6"/>
      <c r="MMV11" s="6"/>
      <c r="MMW11" s="9"/>
      <c r="MMX11" s="6"/>
      <c r="MNI11" s="6"/>
      <c r="MNJ11" s="6"/>
      <c r="MNK11" s="9"/>
      <c r="MNL11" s="6"/>
      <c r="MNW11" s="6"/>
      <c r="MNX11" s="6"/>
      <c r="MNY11" s="9"/>
      <c r="MNZ11" s="6"/>
      <c r="MOK11" s="6"/>
      <c r="MOL11" s="6"/>
      <c r="MOM11" s="9"/>
      <c r="MON11" s="6"/>
      <c r="MOY11" s="6"/>
      <c r="MOZ11" s="6"/>
      <c r="MPA11" s="9"/>
      <c r="MPB11" s="6"/>
      <c r="MPM11" s="6"/>
      <c r="MPN11" s="6"/>
      <c r="MPO11" s="9"/>
      <c r="MPP11" s="6"/>
      <c r="MQA11" s="6"/>
      <c r="MQB11" s="6"/>
      <c r="MQC11" s="9"/>
      <c r="MQD11" s="6"/>
      <c r="MQO11" s="6"/>
      <c r="MQP11" s="6"/>
      <c r="MQQ11" s="9"/>
      <c r="MQR11" s="6"/>
      <c r="MRC11" s="6"/>
      <c r="MRD11" s="6"/>
      <c r="MRE11" s="9"/>
      <c r="MRF11" s="6"/>
      <c r="MRQ11" s="6"/>
      <c r="MRR11" s="6"/>
      <c r="MRS11" s="9"/>
      <c r="MRT11" s="6"/>
      <c r="MSE11" s="6"/>
      <c r="MSF11" s="6"/>
      <c r="MSG11" s="9"/>
      <c r="MSH11" s="6"/>
      <c r="MSS11" s="6"/>
      <c r="MST11" s="6"/>
      <c r="MSU11" s="9"/>
      <c r="MSV11" s="6"/>
      <c r="MTG11" s="6"/>
      <c r="MTH11" s="6"/>
      <c r="MTI11" s="9"/>
      <c r="MTJ11" s="6"/>
      <c r="MTU11" s="6"/>
      <c r="MTV11" s="6"/>
      <c r="MTW11" s="9"/>
      <c r="MTX11" s="6"/>
      <c r="MUI11" s="6"/>
      <c r="MUJ11" s="6"/>
      <c r="MUK11" s="9"/>
      <c r="MUL11" s="6"/>
      <c r="MUW11" s="6"/>
      <c r="MUX11" s="6"/>
      <c r="MUY11" s="9"/>
      <c r="MUZ11" s="6"/>
      <c r="MVK11" s="6"/>
      <c r="MVL11" s="6"/>
      <c r="MVM11" s="9"/>
      <c r="MVN11" s="6"/>
      <c r="MVY11" s="6"/>
      <c r="MVZ11" s="6"/>
      <c r="MWA11" s="9"/>
      <c r="MWB11" s="6"/>
      <c r="MWM11" s="6"/>
      <c r="MWN11" s="6"/>
      <c r="MWO11" s="9"/>
      <c r="MWP11" s="6"/>
      <c r="MXA11" s="6"/>
      <c r="MXB11" s="6"/>
      <c r="MXC11" s="9"/>
      <c r="MXD11" s="6"/>
      <c r="MXO11" s="6"/>
      <c r="MXP11" s="6"/>
      <c r="MXQ11" s="9"/>
      <c r="MXR11" s="6"/>
      <c r="MYC11" s="6"/>
      <c r="MYD11" s="6"/>
      <c r="MYE11" s="9"/>
      <c r="MYF11" s="6"/>
      <c r="MYQ11" s="6"/>
      <c r="MYR11" s="6"/>
      <c r="MYS11" s="9"/>
      <c r="MYT11" s="6"/>
      <c r="MZE11" s="6"/>
      <c r="MZF11" s="6"/>
      <c r="MZG11" s="9"/>
      <c r="MZH11" s="6"/>
      <c r="MZS11" s="6"/>
      <c r="MZT11" s="6"/>
      <c r="MZU11" s="9"/>
      <c r="MZV11" s="6"/>
      <c r="NAG11" s="6"/>
      <c r="NAH11" s="6"/>
      <c r="NAI11" s="9"/>
      <c r="NAJ11" s="6"/>
      <c r="NAU11" s="6"/>
      <c r="NAV11" s="6"/>
      <c r="NAW11" s="9"/>
      <c r="NAX11" s="6"/>
      <c r="NBI11" s="6"/>
      <c r="NBJ11" s="6"/>
      <c r="NBK11" s="9"/>
      <c r="NBL11" s="6"/>
      <c r="NBW11" s="6"/>
      <c r="NBX11" s="6"/>
      <c r="NBY11" s="9"/>
      <c r="NBZ11" s="6"/>
      <c r="NCK11" s="6"/>
      <c r="NCL11" s="6"/>
      <c r="NCM11" s="9"/>
      <c r="NCN11" s="6"/>
      <c r="NCY11" s="6"/>
      <c r="NCZ11" s="6"/>
      <c r="NDA11" s="9"/>
      <c r="NDB11" s="6"/>
      <c r="NDM11" s="6"/>
      <c r="NDN11" s="6"/>
      <c r="NDO11" s="9"/>
      <c r="NDP11" s="6"/>
      <c r="NEA11" s="6"/>
      <c r="NEB11" s="6"/>
      <c r="NEC11" s="9"/>
      <c r="NED11" s="6"/>
      <c r="NEO11" s="6"/>
      <c r="NEP11" s="6"/>
      <c r="NEQ11" s="9"/>
      <c r="NER11" s="6"/>
      <c r="NFC11" s="6"/>
      <c r="NFD11" s="6"/>
      <c r="NFE11" s="9"/>
      <c r="NFF11" s="6"/>
      <c r="NFQ11" s="6"/>
      <c r="NFR11" s="6"/>
      <c r="NFS11" s="9"/>
      <c r="NFT11" s="6"/>
      <c r="NGE11" s="6"/>
      <c r="NGF11" s="6"/>
      <c r="NGG11" s="9"/>
      <c r="NGH11" s="6"/>
      <c r="NGS11" s="6"/>
      <c r="NGT11" s="6"/>
      <c r="NGU11" s="9"/>
      <c r="NGV11" s="6"/>
      <c r="NHG11" s="6"/>
      <c r="NHH11" s="6"/>
      <c r="NHI11" s="9"/>
      <c r="NHJ11" s="6"/>
      <c r="NHU11" s="6"/>
      <c r="NHV11" s="6"/>
      <c r="NHW11" s="9"/>
      <c r="NHX11" s="6"/>
      <c r="NII11" s="6"/>
      <c r="NIJ11" s="6"/>
      <c r="NIK11" s="9"/>
      <c r="NIL11" s="6"/>
      <c r="NIW11" s="6"/>
      <c r="NIX11" s="6"/>
      <c r="NIY11" s="9"/>
      <c r="NIZ11" s="6"/>
      <c r="NJK11" s="6"/>
      <c r="NJL11" s="6"/>
      <c r="NJM11" s="9"/>
      <c r="NJN11" s="6"/>
      <c r="NJY11" s="6"/>
      <c r="NJZ11" s="6"/>
      <c r="NKA11" s="9"/>
      <c r="NKB11" s="6"/>
      <c r="NKM11" s="6"/>
      <c r="NKN11" s="6"/>
      <c r="NKO11" s="9"/>
      <c r="NKP11" s="6"/>
      <c r="NLA11" s="6"/>
      <c r="NLB11" s="6"/>
      <c r="NLC11" s="9"/>
      <c r="NLD11" s="6"/>
      <c r="NLO11" s="6"/>
      <c r="NLP11" s="6"/>
      <c r="NLQ11" s="9"/>
      <c r="NLR11" s="6"/>
      <c r="NMC11" s="6"/>
      <c r="NMD11" s="6"/>
      <c r="NME11" s="9"/>
      <c r="NMF11" s="6"/>
      <c r="NMQ11" s="6"/>
      <c r="NMR11" s="6"/>
      <c r="NMS11" s="9"/>
      <c r="NMT11" s="6"/>
      <c r="NNE11" s="6"/>
      <c r="NNF11" s="6"/>
      <c r="NNG11" s="9"/>
      <c r="NNH11" s="6"/>
      <c r="NNS11" s="6"/>
      <c r="NNT11" s="6"/>
      <c r="NNU11" s="9"/>
      <c r="NNV11" s="6"/>
      <c r="NOG11" s="6"/>
      <c r="NOH11" s="6"/>
      <c r="NOI11" s="9"/>
      <c r="NOJ11" s="6"/>
      <c r="NOU11" s="6"/>
      <c r="NOV11" s="6"/>
      <c r="NOW11" s="9"/>
      <c r="NOX11" s="6"/>
      <c r="NPI11" s="6"/>
      <c r="NPJ11" s="6"/>
      <c r="NPK11" s="9"/>
      <c r="NPL11" s="6"/>
      <c r="NPW11" s="6"/>
      <c r="NPX11" s="6"/>
      <c r="NPY11" s="9"/>
      <c r="NPZ11" s="6"/>
      <c r="NQK11" s="6"/>
      <c r="NQL11" s="6"/>
      <c r="NQM11" s="9"/>
      <c r="NQN11" s="6"/>
      <c r="NQY11" s="6"/>
      <c r="NQZ11" s="6"/>
      <c r="NRA11" s="9"/>
      <c r="NRB11" s="6"/>
      <c r="NRM11" s="6"/>
      <c r="NRN11" s="6"/>
      <c r="NRO11" s="9"/>
      <c r="NRP11" s="6"/>
      <c r="NSA11" s="6"/>
      <c r="NSB11" s="6"/>
      <c r="NSC11" s="9"/>
      <c r="NSD11" s="6"/>
      <c r="NSO11" s="6"/>
      <c r="NSP11" s="6"/>
      <c r="NSQ11" s="9"/>
      <c r="NSR11" s="6"/>
      <c r="NTC11" s="6"/>
      <c r="NTD11" s="6"/>
      <c r="NTE11" s="9"/>
      <c r="NTF11" s="6"/>
      <c r="NTQ11" s="6"/>
      <c r="NTR11" s="6"/>
      <c r="NTS11" s="9"/>
      <c r="NTT11" s="6"/>
      <c r="NUE11" s="6"/>
      <c r="NUF11" s="6"/>
      <c r="NUG11" s="9"/>
      <c r="NUH11" s="6"/>
      <c r="NUS11" s="6"/>
      <c r="NUT11" s="6"/>
      <c r="NUU11" s="9"/>
      <c r="NUV11" s="6"/>
      <c r="NVG11" s="6"/>
      <c r="NVH11" s="6"/>
      <c r="NVI11" s="9"/>
      <c r="NVJ11" s="6"/>
      <c r="NVU11" s="6"/>
      <c r="NVV11" s="6"/>
      <c r="NVW11" s="9"/>
      <c r="NVX11" s="6"/>
      <c r="NWI11" s="6"/>
      <c r="NWJ11" s="6"/>
      <c r="NWK11" s="9"/>
      <c r="NWL11" s="6"/>
      <c r="NWW11" s="6"/>
      <c r="NWX11" s="6"/>
      <c r="NWY11" s="9"/>
      <c r="NWZ11" s="6"/>
      <c r="NXK11" s="6"/>
      <c r="NXL11" s="6"/>
      <c r="NXM11" s="9"/>
      <c r="NXN11" s="6"/>
      <c r="NXY11" s="6"/>
      <c r="NXZ11" s="6"/>
      <c r="NYA11" s="9"/>
      <c r="NYB11" s="6"/>
      <c r="NYM11" s="6"/>
      <c r="NYN11" s="6"/>
      <c r="NYO11" s="9"/>
      <c r="NYP11" s="6"/>
      <c r="NZA11" s="6"/>
      <c r="NZB11" s="6"/>
      <c r="NZC11" s="9"/>
      <c r="NZD11" s="6"/>
      <c r="NZO11" s="6"/>
      <c r="NZP11" s="6"/>
      <c r="NZQ11" s="9"/>
      <c r="NZR11" s="6"/>
      <c r="OAC11" s="6"/>
      <c r="OAD11" s="6"/>
      <c r="OAE11" s="9"/>
      <c r="OAF11" s="6"/>
      <c r="OAQ11" s="6"/>
      <c r="OAR11" s="6"/>
      <c r="OAS11" s="9"/>
      <c r="OAT11" s="6"/>
      <c r="OBE11" s="6"/>
      <c r="OBF11" s="6"/>
      <c r="OBG11" s="9"/>
      <c r="OBH11" s="6"/>
      <c r="OBS11" s="6"/>
      <c r="OBT11" s="6"/>
      <c r="OBU11" s="9"/>
      <c r="OBV11" s="6"/>
      <c r="OCG11" s="6"/>
      <c r="OCH11" s="6"/>
      <c r="OCI11" s="9"/>
      <c r="OCJ11" s="6"/>
      <c r="OCU11" s="6"/>
      <c r="OCV11" s="6"/>
      <c r="OCW11" s="9"/>
      <c r="OCX11" s="6"/>
      <c r="ODI11" s="6"/>
      <c r="ODJ11" s="6"/>
      <c r="ODK11" s="9"/>
      <c r="ODL11" s="6"/>
      <c r="ODW11" s="6"/>
      <c r="ODX11" s="6"/>
      <c r="ODY11" s="9"/>
      <c r="ODZ11" s="6"/>
      <c r="OEK11" s="6"/>
      <c r="OEL11" s="6"/>
      <c r="OEM11" s="9"/>
      <c r="OEN11" s="6"/>
      <c r="OEY11" s="6"/>
      <c r="OEZ11" s="6"/>
      <c r="OFA11" s="9"/>
      <c r="OFB11" s="6"/>
      <c r="OFM11" s="6"/>
      <c r="OFN11" s="6"/>
      <c r="OFO11" s="9"/>
      <c r="OFP11" s="6"/>
      <c r="OGA11" s="6"/>
      <c r="OGB11" s="6"/>
      <c r="OGC11" s="9"/>
      <c r="OGD11" s="6"/>
      <c r="OGO11" s="6"/>
      <c r="OGP11" s="6"/>
      <c r="OGQ11" s="9"/>
      <c r="OGR11" s="6"/>
      <c r="OHC11" s="6"/>
      <c r="OHD11" s="6"/>
      <c r="OHE11" s="9"/>
      <c r="OHF11" s="6"/>
      <c r="OHQ11" s="6"/>
      <c r="OHR11" s="6"/>
      <c r="OHS11" s="9"/>
      <c r="OHT11" s="6"/>
      <c r="OIE11" s="6"/>
      <c r="OIF11" s="6"/>
      <c r="OIG11" s="9"/>
      <c r="OIH11" s="6"/>
      <c r="OIS11" s="6"/>
      <c r="OIT11" s="6"/>
      <c r="OIU11" s="9"/>
      <c r="OIV11" s="6"/>
      <c r="OJG11" s="6"/>
      <c r="OJH11" s="6"/>
      <c r="OJI11" s="9"/>
      <c r="OJJ11" s="6"/>
      <c r="OJU11" s="6"/>
      <c r="OJV11" s="6"/>
      <c r="OJW11" s="9"/>
      <c r="OJX11" s="6"/>
      <c r="OKI11" s="6"/>
      <c r="OKJ11" s="6"/>
      <c r="OKK11" s="9"/>
      <c r="OKL11" s="6"/>
      <c r="OKW11" s="6"/>
      <c r="OKX11" s="6"/>
      <c r="OKY11" s="9"/>
      <c r="OKZ11" s="6"/>
      <c r="OLK11" s="6"/>
      <c r="OLL11" s="6"/>
      <c r="OLM11" s="9"/>
      <c r="OLN11" s="6"/>
      <c r="OLY11" s="6"/>
      <c r="OLZ11" s="6"/>
      <c r="OMA11" s="9"/>
      <c r="OMB11" s="6"/>
      <c r="OMM11" s="6"/>
      <c r="OMN11" s="6"/>
      <c r="OMO11" s="9"/>
      <c r="OMP11" s="6"/>
      <c r="ONA11" s="6"/>
      <c r="ONB11" s="6"/>
      <c r="ONC11" s="9"/>
      <c r="OND11" s="6"/>
      <c r="ONO11" s="6"/>
      <c r="ONP11" s="6"/>
      <c r="ONQ11" s="9"/>
      <c r="ONR11" s="6"/>
      <c r="OOC11" s="6"/>
      <c r="OOD11" s="6"/>
      <c r="OOE11" s="9"/>
      <c r="OOF11" s="6"/>
      <c r="OOQ11" s="6"/>
      <c r="OOR11" s="6"/>
      <c r="OOS11" s="9"/>
      <c r="OOT11" s="6"/>
      <c r="OPE11" s="6"/>
      <c r="OPF11" s="6"/>
      <c r="OPG11" s="9"/>
      <c r="OPH11" s="6"/>
      <c r="OPS11" s="6"/>
      <c r="OPT11" s="6"/>
      <c r="OPU11" s="9"/>
      <c r="OPV11" s="6"/>
      <c r="OQG11" s="6"/>
      <c r="OQH11" s="6"/>
      <c r="OQI11" s="9"/>
      <c r="OQJ11" s="6"/>
      <c r="OQU11" s="6"/>
      <c r="OQV11" s="6"/>
      <c r="OQW11" s="9"/>
      <c r="OQX11" s="6"/>
      <c r="ORI11" s="6"/>
      <c r="ORJ11" s="6"/>
      <c r="ORK11" s="9"/>
      <c r="ORL11" s="6"/>
      <c r="ORW11" s="6"/>
      <c r="ORX11" s="6"/>
      <c r="ORY11" s="9"/>
      <c r="ORZ11" s="6"/>
      <c r="OSK11" s="6"/>
      <c r="OSL11" s="6"/>
      <c r="OSM11" s="9"/>
      <c r="OSN11" s="6"/>
      <c r="OSY11" s="6"/>
      <c r="OSZ11" s="6"/>
      <c r="OTA11" s="9"/>
      <c r="OTB11" s="6"/>
      <c r="OTM11" s="6"/>
      <c r="OTN11" s="6"/>
      <c r="OTO11" s="9"/>
      <c r="OTP11" s="6"/>
      <c r="OUA11" s="6"/>
      <c r="OUB11" s="6"/>
      <c r="OUC11" s="9"/>
      <c r="OUD11" s="6"/>
      <c r="OUO11" s="6"/>
      <c r="OUP11" s="6"/>
      <c r="OUQ11" s="9"/>
      <c r="OUR11" s="6"/>
      <c r="OVC11" s="6"/>
      <c r="OVD11" s="6"/>
      <c r="OVE11" s="9"/>
      <c r="OVF11" s="6"/>
      <c r="OVQ11" s="6"/>
      <c r="OVR11" s="6"/>
      <c r="OVS11" s="9"/>
      <c r="OVT11" s="6"/>
      <c r="OWE11" s="6"/>
      <c r="OWF11" s="6"/>
      <c r="OWG11" s="9"/>
      <c r="OWH11" s="6"/>
      <c r="OWS11" s="6"/>
      <c r="OWT11" s="6"/>
      <c r="OWU11" s="9"/>
      <c r="OWV11" s="6"/>
      <c r="OXG11" s="6"/>
      <c r="OXH11" s="6"/>
      <c r="OXI11" s="9"/>
      <c r="OXJ11" s="6"/>
      <c r="OXU11" s="6"/>
      <c r="OXV11" s="6"/>
      <c r="OXW11" s="9"/>
      <c r="OXX11" s="6"/>
      <c r="OYI11" s="6"/>
      <c r="OYJ11" s="6"/>
      <c r="OYK11" s="9"/>
      <c r="OYL11" s="6"/>
      <c r="OYW11" s="6"/>
      <c r="OYX11" s="6"/>
      <c r="OYY11" s="9"/>
      <c r="OYZ11" s="6"/>
      <c r="OZK11" s="6"/>
      <c r="OZL11" s="6"/>
      <c r="OZM11" s="9"/>
      <c r="OZN11" s="6"/>
      <c r="OZY11" s="6"/>
      <c r="OZZ11" s="6"/>
      <c r="PAA11" s="9"/>
      <c r="PAB11" s="6"/>
      <c r="PAM11" s="6"/>
      <c r="PAN11" s="6"/>
      <c r="PAO11" s="9"/>
      <c r="PAP11" s="6"/>
      <c r="PBA11" s="6"/>
      <c r="PBB11" s="6"/>
      <c r="PBC11" s="9"/>
      <c r="PBD11" s="6"/>
      <c r="PBO11" s="6"/>
      <c r="PBP11" s="6"/>
      <c r="PBQ11" s="9"/>
      <c r="PBR11" s="6"/>
      <c r="PCC11" s="6"/>
      <c r="PCD11" s="6"/>
      <c r="PCE11" s="9"/>
      <c r="PCF11" s="6"/>
      <c r="PCQ11" s="6"/>
      <c r="PCR11" s="6"/>
      <c r="PCS11" s="9"/>
      <c r="PCT11" s="6"/>
      <c r="PDE11" s="6"/>
      <c r="PDF11" s="6"/>
      <c r="PDG11" s="9"/>
      <c r="PDH11" s="6"/>
      <c r="PDS11" s="6"/>
      <c r="PDT11" s="6"/>
      <c r="PDU11" s="9"/>
      <c r="PDV11" s="6"/>
      <c r="PEG11" s="6"/>
      <c r="PEH11" s="6"/>
      <c r="PEI11" s="9"/>
      <c r="PEJ11" s="6"/>
      <c r="PEU11" s="6"/>
      <c r="PEV11" s="6"/>
      <c r="PEW11" s="9"/>
      <c r="PEX11" s="6"/>
      <c r="PFI11" s="6"/>
      <c r="PFJ11" s="6"/>
      <c r="PFK11" s="9"/>
      <c r="PFL11" s="6"/>
      <c r="PFW11" s="6"/>
      <c r="PFX11" s="6"/>
      <c r="PFY11" s="9"/>
      <c r="PFZ11" s="6"/>
      <c r="PGK11" s="6"/>
      <c r="PGL11" s="6"/>
      <c r="PGM11" s="9"/>
      <c r="PGN11" s="6"/>
      <c r="PGY11" s="6"/>
      <c r="PGZ11" s="6"/>
      <c r="PHA11" s="9"/>
      <c r="PHB11" s="6"/>
      <c r="PHM11" s="6"/>
      <c r="PHN11" s="6"/>
      <c r="PHO11" s="9"/>
      <c r="PHP11" s="6"/>
      <c r="PIA11" s="6"/>
      <c r="PIB11" s="6"/>
      <c r="PIC11" s="9"/>
      <c r="PID11" s="6"/>
      <c r="PIO11" s="6"/>
      <c r="PIP11" s="6"/>
      <c r="PIQ11" s="9"/>
      <c r="PIR11" s="6"/>
      <c r="PJC11" s="6"/>
      <c r="PJD11" s="6"/>
      <c r="PJE11" s="9"/>
      <c r="PJF11" s="6"/>
      <c r="PJQ11" s="6"/>
      <c r="PJR11" s="6"/>
      <c r="PJS11" s="9"/>
      <c r="PJT11" s="6"/>
      <c r="PKE11" s="6"/>
      <c r="PKF11" s="6"/>
      <c r="PKG11" s="9"/>
      <c r="PKH11" s="6"/>
      <c r="PKS11" s="6"/>
      <c r="PKT11" s="6"/>
      <c r="PKU11" s="9"/>
      <c r="PKV11" s="6"/>
      <c r="PLG11" s="6"/>
      <c r="PLH11" s="6"/>
      <c r="PLI11" s="9"/>
      <c r="PLJ11" s="6"/>
      <c r="PLU11" s="6"/>
      <c r="PLV11" s="6"/>
      <c r="PLW11" s="9"/>
      <c r="PLX11" s="6"/>
      <c r="PMI11" s="6"/>
      <c r="PMJ11" s="6"/>
      <c r="PMK11" s="9"/>
      <c r="PML11" s="6"/>
      <c r="PMW11" s="6"/>
      <c r="PMX11" s="6"/>
      <c r="PMY11" s="9"/>
      <c r="PMZ11" s="6"/>
      <c r="PNK11" s="6"/>
      <c r="PNL11" s="6"/>
      <c r="PNM11" s="9"/>
      <c r="PNN11" s="6"/>
      <c r="PNY11" s="6"/>
      <c r="PNZ11" s="6"/>
      <c r="POA11" s="9"/>
      <c r="POB11" s="6"/>
      <c r="POM11" s="6"/>
      <c r="PON11" s="6"/>
      <c r="POO11" s="9"/>
      <c r="POP11" s="6"/>
      <c r="PPA11" s="6"/>
      <c r="PPB11" s="6"/>
      <c r="PPC11" s="9"/>
      <c r="PPD11" s="6"/>
      <c r="PPO11" s="6"/>
      <c r="PPP11" s="6"/>
      <c r="PPQ11" s="9"/>
      <c r="PPR11" s="6"/>
      <c r="PQC11" s="6"/>
      <c r="PQD11" s="6"/>
      <c r="PQE11" s="9"/>
      <c r="PQF11" s="6"/>
      <c r="PQQ11" s="6"/>
      <c r="PQR11" s="6"/>
      <c r="PQS11" s="9"/>
      <c r="PQT11" s="6"/>
      <c r="PRE11" s="6"/>
      <c r="PRF11" s="6"/>
      <c r="PRG11" s="9"/>
      <c r="PRH11" s="6"/>
      <c r="PRS11" s="6"/>
      <c r="PRT11" s="6"/>
      <c r="PRU11" s="9"/>
      <c r="PRV11" s="6"/>
      <c r="PSG11" s="6"/>
      <c r="PSH11" s="6"/>
      <c r="PSI11" s="9"/>
      <c r="PSJ11" s="6"/>
      <c r="PSU11" s="6"/>
      <c r="PSV11" s="6"/>
      <c r="PSW11" s="9"/>
      <c r="PSX11" s="6"/>
      <c r="PTI11" s="6"/>
      <c r="PTJ11" s="6"/>
      <c r="PTK11" s="9"/>
      <c r="PTL11" s="6"/>
      <c r="PTW11" s="6"/>
      <c r="PTX11" s="6"/>
      <c r="PTY11" s="9"/>
      <c r="PTZ11" s="6"/>
      <c r="PUK11" s="6"/>
      <c r="PUL11" s="6"/>
      <c r="PUM11" s="9"/>
      <c r="PUN11" s="6"/>
      <c r="PUY11" s="6"/>
      <c r="PUZ11" s="6"/>
      <c r="PVA11" s="9"/>
      <c r="PVB11" s="6"/>
      <c r="PVM11" s="6"/>
      <c r="PVN11" s="6"/>
      <c r="PVO11" s="9"/>
      <c r="PVP11" s="6"/>
      <c r="PWA11" s="6"/>
      <c r="PWB11" s="6"/>
      <c r="PWC11" s="9"/>
      <c r="PWD11" s="6"/>
      <c r="PWO11" s="6"/>
      <c r="PWP11" s="6"/>
      <c r="PWQ11" s="9"/>
      <c r="PWR11" s="6"/>
      <c r="PXC11" s="6"/>
      <c r="PXD11" s="6"/>
      <c r="PXE11" s="9"/>
      <c r="PXF11" s="6"/>
      <c r="PXQ11" s="6"/>
      <c r="PXR11" s="6"/>
      <c r="PXS11" s="9"/>
      <c r="PXT11" s="6"/>
      <c r="PYE11" s="6"/>
      <c r="PYF11" s="6"/>
      <c r="PYG11" s="9"/>
      <c r="PYH11" s="6"/>
      <c r="PYS11" s="6"/>
      <c r="PYT11" s="6"/>
      <c r="PYU11" s="9"/>
      <c r="PYV11" s="6"/>
      <c r="PZG11" s="6"/>
      <c r="PZH11" s="6"/>
      <c r="PZI11" s="9"/>
      <c r="PZJ11" s="6"/>
      <c r="PZU11" s="6"/>
      <c r="PZV11" s="6"/>
      <c r="PZW11" s="9"/>
      <c r="PZX11" s="6"/>
      <c r="QAI11" s="6"/>
      <c r="QAJ11" s="6"/>
      <c r="QAK11" s="9"/>
      <c r="QAL11" s="6"/>
      <c r="QAW11" s="6"/>
      <c r="QAX11" s="6"/>
      <c r="QAY11" s="9"/>
      <c r="QAZ11" s="6"/>
      <c r="QBK11" s="6"/>
      <c r="QBL11" s="6"/>
      <c r="QBM11" s="9"/>
      <c r="QBN11" s="6"/>
      <c r="QBY11" s="6"/>
      <c r="QBZ11" s="6"/>
      <c r="QCA11" s="9"/>
      <c r="QCB11" s="6"/>
      <c r="QCM11" s="6"/>
      <c r="QCN11" s="6"/>
      <c r="QCO11" s="9"/>
      <c r="QCP11" s="6"/>
      <c r="QDA11" s="6"/>
      <c r="QDB11" s="6"/>
      <c r="QDC11" s="9"/>
      <c r="QDD11" s="6"/>
      <c r="QDO11" s="6"/>
      <c r="QDP11" s="6"/>
      <c r="QDQ11" s="9"/>
      <c r="QDR11" s="6"/>
      <c r="QEC11" s="6"/>
      <c r="QED11" s="6"/>
      <c r="QEE11" s="9"/>
      <c r="QEF11" s="6"/>
      <c r="QEQ11" s="6"/>
      <c r="QER11" s="6"/>
      <c r="QES11" s="9"/>
      <c r="QET11" s="6"/>
      <c r="QFE11" s="6"/>
      <c r="QFF11" s="6"/>
      <c r="QFG11" s="9"/>
      <c r="QFH11" s="6"/>
      <c r="QFS11" s="6"/>
      <c r="QFT11" s="6"/>
      <c r="QFU11" s="9"/>
      <c r="QFV11" s="6"/>
      <c r="QGG11" s="6"/>
      <c r="QGH11" s="6"/>
      <c r="QGI11" s="9"/>
      <c r="QGJ11" s="6"/>
      <c r="QGU11" s="6"/>
      <c r="QGV11" s="6"/>
      <c r="QGW11" s="9"/>
      <c r="QGX11" s="6"/>
      <c r="QHI11" s="6"/>
      <c r="QHJ11" s="6"/>
      <c r="QHK11" s="9"/>
      <c r="QHL11" s="6"/>
      <c r="QHW11" s="6"/>
      <c r="QHX11" s="6"/>
      <c r="QHY11" s="9"/>
      <c r="QHZ11" s="6"/>
      <c r="QIK11" s="6"/>
      <c r="QIL11" s="6"/>
      <c r="QIM11" s="9"/>
      <c r="QIN11" s="6"/>
      <c r="QIY11" s="6"/>
      <c r="QIZ11" s="6"/>
      <c r="QJA11" s="9"/>
      <c r="QJB11" s="6"/>
      <c r="QJM11" s="6"/>
      <c r="QJN11" s="6"/>
      <c r="QJO11" s="9"/>
      <c r="QJP11" s="6"/>
      <c r="QKA11" s="6"/>
      <c r="QKB11" s="6"/>
      <c r="QKC11" s="9"/>
      <c r="QKD11" s="6"/>
      <c r="QKO11" s="6"/>
      <c r="QKP11" s="6"/>
      <c r="QKQ11" s="9"/>
      <c r="QKR11" s="6"/>
      <c r="QLC11" s="6"/>
      <c r="QLD11" s="6"/>
      <c r="QLE11" s="9"/>
      <c r="QLF11" s="6"/>
      <c r="QLQ11" s="6"/>
      <c r="QLR11" s="6"/>
      <c r="QLS11" s="9"/>
      <c r="QLT11" s="6"/>
      <c r="QME11" s="6"/>
      <c r="QMF11" s="6"/>
      <c r="QMG11" s="9"/>
      <c r="QMH11" s="6"/>
      <c r="QMS11" s="6"/>
      <c r="QMT11" s="6"/>
      <c r="QMU11" s="9"/>
      <c r="QMV11" s="6"/>
      <c r="QNG11" s="6"/>
      <c r="QNH11" s="6"/>
      <c r="QNI11" s="9"/>
      <c r="QNJ11" s="6"/>
      <c r="QNU11" s="6"/>
      <c r="QNV11" s="6"/>
      <c r="QNW11" s="9"/>
      <c r="QNX11" s="6"/>
      <c r="QOI11" s="6"/>
      <c r="QOJ11" s="6"/>
      <c r="QOK11" s="9"/>
      <c r="QOL11" s="6"/>
      <c r="QOW11" s="6"/>
      <c r="QOX11" s="6"/>
      <c r="QOY11" s="9"/>
      <c r="QOZ11" s="6"/>
      <c r="QPK11" s="6"/>
      <c r="QPL11" s="6"/>
      <c r="QPM11" s="9"/>
      <c r="QPN11" s="6"/>
      <c r="QPY11" s="6"/>
      <c r="QPZ11" s="6"/>
      <c r="QQA11" s="9"/>
      <c r="QQB11" s="6"/>
      <c r="QQM11" s="6"/>
      <c r="QQN11" s="6"/>
      <c r="QQO11" s="9"/>
      <c r="QQP11" s="6"/>
      <c r="QRA11" s="6"/>
      <c r="QRB11" s="6"/>
      <c r="QRC11" s="9"/>
      <c r="QRD11" s="6"/>
      <c r="QRO11" s="6"/>
      <c r="QRP11" s="6"/>
      <c r="QRQ11" s="9"/>
      <c r="QRR11" s="6"/>
      <c r="QSC11" s="6"/>
      <c r="QSD11" s="6"/>
      <c r="QSE11" s="9"/>
      <c r="QSF11" s="6"/>
      <c r="QSQ11" s="6"/>
      <c r="QSR11" s="6"/>
      <c r="QSS11" s="9"/>
      <c r="QST11" s="6"/>
      <c r="QTE11" s="6"/>
      <c r="QTF11" s="6"/>
      <c r="QTG11" s="9"/>
      <c r="QTH11" s="6"/>
      <c r="QTS11" s="6"/>
      <c r="QTT11" s="6"/>
      <c r="QTU11" s="9"/>
      <c r="QTV11" s="6"/>
      <c r="QUG11" s="6"/>
      <c r="QUH11" s="6"/>
      <c r="QUI11" s="9"/>
      <c r="QUJ11" s="6"/>
      <c r="QUU11" s="6"/>
      <c r="QUV11" s="6"/>
      <c r="QUW11" s="9"/>
      <c r="QUX11" s="6"/>
      <c r="QVI11" s="6"/>
      <c r="QVJ11" s="6"/>
      <c r="QVK11" s="9"/>
      <c r="QVL11" s="6"/>
      <c r="QVW11" s="6"/>
      <c r="QVX11" s="6"/>
      <c r="QVY11" s="9"/>
      <c r="QVZ11" s="6"/>
      <c r="QWK11" s="6"/>
      <c r="QWL11" s="6"/>
      <c r="QWM11" s="9"/>
      <c r="QWN11" s="6"/>
      <c r="QWY11" s="6"/>
      <c r="QWZ11" s="6"/>
      <c r="QXA11" s="9"/>
      <c r="QXB11" s="6"/>
      <c r="QXM11" s="6"/>
      <c r="QXN11" s="6"/>
      <c r="QXO11" s="9"/>
      <c r="QXP11" s="6"/>
      <c r="QYA11" s="6"/>
      <c r="QYB11" s="6"/>
      <c r="QYC11" s="9"/>
      <c r="QYD11" s="6"/>
      <c r="QYO11" s="6"/>
      <c r="QYP11" s="6"/>
      <c r="QYQ11" s="9"/>
      <c r="QYR11" s="6"/>
      <c r="QZC11" s="6"/>
      <c r="QZD11" s="6"/>
      <c r="QZE11" s="9"/>
      <c r="QZF11" s="6"/>
      <c r="QZQ11" s="6"/>
      <c r="QZR11" s="6"/>
      <c r="QZS11" s="9"/>
      <c r="QZT11" s="6"/>
      <c r="RAE11" s="6"/>
      <c r="RAF11" s="6"/>
      <c r="RAG11" s="9"/>
      <c r="RAH11" s="6"/>
      <c r="RAS11" s="6"/>
      <c r="RAT11" s="6"/>
      <c r="RAU11" s="9"/>
      <c r="RAV11" s="6"/>
      <c r="RBG11" s="6"/>
      <c r="RBH11" s="6"/>
      <c r="RBI11" s="9"/>
      <c r="RBJ11" s="6"/>
      <c r="RBU11" s="6"/>
      <c r="RBV11" s="6"/>
      <c r="RBW11" s="9"/>
      <c r="RBX11" s="6"/>
      <c r="RCI11" s="6"/>
      <c r="RCJ11" s="6"/>
      <c r="RCK11" s="9"/>
      <c r="RCL11" s="6"/>
      <c r="RCW11" s="6"/>
      <c r="RCX11" s="6"/>
      <c r="RCY11" s="9"/>
      <c r="RCZ11" s="6"/>
      <c r="RDK11" s="6"/>
      <c r="RDL11" s="6"/>
      <c r="RDM11" s="9"/>
      <c r="RDN11" s="6"/>
      <c r="RDY11" s="6"/>
      <c r="RDZ11" s="6"/>
      <c r="REA11" s="9"/>
      <c r="REB11" s="6"/>
      <c r="REM11" s="6"/>
      <c r="REN11" s="6"/>
      <c r="REO11" s="9"/>
      <c r="REP11" s="6"/>
      <c r="RFA11" s="6"/>
      <c r="RFB11" s="6"/>
      <c r="RFC11" s="9"/>
      <c r="RFD11" s="6"/>
      <c r="RFO11" s="6"/>
      <c r="RFP11" s="6"/>
      <c r="RFQ11" s="9"/>
      <c r="RFR11" s="6"/>
      <c r="RGC11" s="6"/>
      <c r="RGD11" s="6"/>
      <c r="RGE11" s="9"/>
      <c r="RGF11" s="6"/>
      <c r="RGQ11" s="6"/>
      <c r="RGR11" s="6"/>
      <c r="RGS11" s="9"/>
      <c r="RGT11" s="6"/>
      <c r="RHE11" s="6"/>
      <c r="RHF11" s="6"/>
      <c r="RHG11" s="9"/>
      <c r="RHH11" s="6"/>
      <c r="RHS11" s="6"/>
      <c r="RHT11" s="6"/>
      <c r="RHU11" s="9"/>
      <c r="RHV11" s="6"/>
      <c r="RIG11" s="6"/>
      <c r="RIH11" s="6"/>
      <c r="RII11" s="9"/>
      <c r="RIJ11" s="6"/>
      <c r="RIU11" s="6"/>
      <c r="RIV11" s="6"/>
      <c r="RIW11" s="9"/>
      <c r="RIX11" s="6"/>
      <c r="RJI11" s="6"/>
      <c r="RJJ11" s="6"/>
      <c r="RJK11" s="9"/>
      <c r="RJL11" s="6"/>
      <c r="RJW11" s="6"/>
      <c r="RJX11" s="6"/>
      <c r="RJY11" s="9"/>
      <c r="RJZ11" s="6"/>
      <c r="RKK11" s="6"/>
      <c r="RKL11" s="6"/>
      <c r="RKM11" s="9"/>
      <c r="RKN11" s="6"/>
      <c r="RKY11" s="6"/>
      <c r="RKZ11" s="6"/>
      <c r="RLA11" s="9"/>
      <c r="RLB11" s="6"/>
      <c r="RLM11" s="6"/>
      <c r="RLN11" s="6"/>
      <c r="RLO11" s="9"/>
      <c r="RLP11" s="6"/>
      <c r="RMA11" s="6"/>
      <c r="RMB11" s="6"/>
      <c r="RMC11" s="9"/>
      <c r="RMD11" s="6"/>
      <c r="RMO11" s="6"/>
      <c r="RMP11" s="6"/>
      <c r="RMQ11" s="9"/>
      <c r="RMR11" s="6"/>
      <c r="RNC11" s="6"/>
      <c r="RND11" s="6"/>
      <c r="RNE11" s="9"/>
      <c r="RNF11" s="6"/>
      <c r="RNQ11" s="6"/>
      <c r="RNR11" s="6"/>
      <c r="RNS11" s="9"/>
      <c r="RNT11" s="6"/>
      <c r="ROE11" s="6"/>
      <c r="ROF11" s="6"/>
      <c r="ROG11" s="9"/>
      <c r="ROH11" s="6"/>
      <c r="ROS11" s="6"/>
      <c r="ROT11" s="6"/>
      <c r="ROU11" s="9"/>
      <c r="ROV11" s="6"/>
      <c r="RPG11" s="6"/>
      <c r="RPH11" s="6"/>
      <c r="RPI11" s="9"/>
      <c r="RPJ11" s="6"/>
      <c r="RPU11" s="6"/>
      <c r="RPV11" s="6"/>
      <c r="RPW11" s="9"/>
      <c r="RPX11" s="6"/>
      <c r="RQI11" s="6"/>
      <c r="RQJ11" s="6"/>
      <c r="RQK11" s="9"/>
      <c r="RQL11" s="6"/>
      <c r="RQW11" s="6"/>
      <c r="RQX11" s="6"/>
      <c r="RQY11" s="9"/>
      <c r="RQZ11" s="6"/>
      <c r="RRK11" s="6"/>
      <c r="RRL11" s="6"/>
      <c r="RRM11" s="9"/>
      <c r="RRN11" s="6"/>
      <c r="RRY11" s="6"/>
      <c r="RRZ11" s="6"/>
      <c r="RSA11" s="9"/>
      <c r="RSB11" s="6"/>
      <c r="RSM11" s="6"/>
      <c r="RSN11" s="6"/>
      <c r="RSO11" s="9"/>
      <c r="RSP11" s="6"/>
      <c r="RTA11" s="6"/>
      <c r="RTB11" s="6"/>
      <c r="RTC11" s="9"/>
      <c r="RTD11" s="6"/>
      <c r="RTO11" s="6"/>
      <c r="RTP11" s="6"/>
      <c r="RTQ11" s="9"/>
      <c r="RTR11" s="6"/>
      <c r="RUC11" s="6"/>
      <c r="RUD11" s="6"/>
      <c r="RUE11" s="9"/>
      <c r="RUF11" s="6"/>
      <c r="RUQ11" s="6"/>
      <c r="RUR11" s="6"/>
      <c r="RUS11" s="9"/>
      <c r="RUT11" s="6"/>
      <c r="RVE11" s="6"/>
      <c r="RVF11" s="6"/>
      <c r="RVG11" s="9"/>
      <c r="RVH11" s="6"/>
      <c r="RVS11" s="6"/>
      <c r="RVT11" s="6"/>
      <c r="RVU11" s="9"/>
      <c r="RVV11" s="6"/>
      <c r="RWG11" s="6"/>
      <c r="RWH11" s="6"/>
      <c r="RWI11" s="9"/>
      <c r="RWJ11" s="6"/>
      <c r="RWU11" s="6"/>
      <c r="RWV11" s="6"/>
      <c r="RWW11" s="9"/>
      <c r="RWX11" s="6"/>
      <c r="RXI11" s="6"/>
      <c r="RXJ11" s="6"/>
      <c r="RXK11" s="9"/>
      <c r="RXL11" s="6"/>
      <c r="RXW11" s="6"/>
      <c r="RXX11" s="6"/>
      <c r="RXY11" s="9"/>
      <c r="RXZ11" s="6"/>
      <c r="RYK11" s="6"/>
      <c r="RYL11" s="6"/>
      <c r="RYM11" s="9"/>
      <c r="RYN11" s="6"/>
      <c r="RYY11" s="6"/>
      <c r="RYZ11" s="6"/>
      <c r="RZA11" s="9"/>
      <c r="RZB11" s="6"/>
      <c r="RZM11" s="6"/>
      <c r="RZN11" s="6"/>
      <c r="RZO11" s="9"/>
      <c r="RZP11" s="6"/>
      <c r="SAA11" s="6"/>
      <c r="SAB11" s="6"/>
      <c r="SAC11" s="9"/>
      <c r="SAD11" s="6"/>
      <c r="SAO11" s="6"/>
      <c r="SAP11" s="6"/>
      <c r="SAQ11" s="9"/>
      <c r="SAR11" s="6"/>
      <c r="SBC11" s="6"/>
      <c r="SBD11" s="6"/>
      <c r="SBE11" s="9"/>
      <c r="SBF11" s="6"/>
      <c r="SBQ11" s="6"/>
      <c r="SBR11" s="6"/>
      <c r="SBS11" s="9"/>
      <c r="SBT11" s="6"/>
      <c r="SCE11" s="6"/>
      <c r="SCF11" s="6"/>
      <c r="SCG11" s="9"/>
      <c r="SCH11" s="6"/>
      <c r="SCS11" s="6"/>
      <c r="SCT11" s="6"/>
      <c r="SCU11" s="9"/>
      <c r="SCV11" s="6"/>
      <c r="SDG11" s="6"/>
      <c r="SDH11" s="6"/>
      <c r="SDI11" s="9"/>
      <c r="SDJ11" s="6"/>
      <c r="SDU11" s="6"/>
      <c r="SDV11" s="6"/>
      <c r="SDW11" s="9"/>
      <c r="SDX11" s="6"/>
      <c r="SEI11" s="6"/>
      <c r="SEJ11" s="6"/>
      <c r="SEK11" s="9"/>
      <c r="SEL11" s="6"/>
      <c r="SEW11" s="6"/>
      <c r="SEX11" s="6"/>
      <c r="SEY11" s="9"/>
      <c r="SEZ11" s="6"/>
      <c r="SFK11" s="6"/>
      <c r="SFL11" s="6"/>
      <c r="SFM11" s="9"/>
      <c r="SFN11" s="6"/>
      <c r="SFY11" s="6"/>
      <c r="SFZ11" s="6"/>
      <c r="SGA11" s="9"/>
      <c r="SGB11" s="6"/>
      <c r="SGM11" s="6"/>
      <c r="SGN11" s="6"/>
      <c r="SGO11" s="9"/>
      <c r="SGP11" s="6"/>
      <c r="SHA11" s="6"/>
      <c r="SHB11" s="6"/>
      <c r="SHC11" s="9"/>
      <c r="SHD11" s="6"/>
      <c r="SHO11" s="6"/>
      <c r="SHP11" s="6"/>
      <c r="SHQ11" s="9"/>
      <c r="SHR11" s="6"/>
      <c r="SIC11" s="6"/>
      <c r="SID11" s="6"/>
      <c r="SIE11" s="9"/>
      <c r="SIF11" s="6"/>
      <c r="SIQ11" s="6"/>
      <c r="SIR11" s="6"/>
      <c r="SIS11" s="9"/>
      <c r="SIT11" s="6"/>
      <c r="SJE11" s="6"/>
      <c r="SJF11" s="6"/>
      <c r="SJG11" s="9"/>
      <c r="SJH11" s="6"/>
      <c r="SJS11" s="6"/>
      <c r="SJT11" s="6"/>
      <c r="SJU11" s="9"/>
      <c r="SJV11" s="6"/>
      <c r="SKG11" s="6"/>
      <c r="SKH11" s="6"/>
      <c r="SKI11" s="9"/>
      <c r="SKJ11" s="6"/>
      <c r="SKU11" s="6"/>
      <c r="SKV11" s="6"/>
      <c r="SKW11" s="9"/>
      <c r="SKX11" s="6"/>
      <c r="SLI11" s="6"/>
      <c r="SLJ11" s="6"/>
      <c r="SLK11" s="9"/>
      <c r="SLL11" s="6"/>
      <c r="SLW11" s="6"/>
      <c r="SLX11" s="6"/>
      <c r="SLY11" s="9"/>
      <c r="SLZ11" s="6"/>
      <c r="SMK11" s="6"/>
      <c r="SML11" s="6"/>
      <c r="SMM11" s="9"/>
      <c r="SMN11" s="6"/>
      <c r="SMY11" s="6"/>
      <c r="SMZ11" s="6"/>
      <c r="SNA11" s="9"/>
      <c r="SNB11" s="6"/>
      <c r="SNM11" s="6"/>
      <c r="SNN11" s="6"/>
      <c r="SNO11" s="9"/>
      <c r="SNP11" s="6"/>
      <c r="SOA11" s="6"/>
      <c r="SOB11" s="6"/>
      <c r="SOC11" s="9"/>
      <c r="SOD11" s="6"/>
      <c r="SOO11" s="6"/>
      <c r="SOP11" s="6"/>
      <c r="SOQ11" s="9"/>
      <c r="SOR11" s="6"/>
      <c r="SPC11" s="6"/>
      <c r="SPD11" s="6"/>
      <c r="SPE11" s="9"/>
      <c r="SPF11" s="6"/>
      <c r="SPQ11" s="6"/>
      <c r="SPR11" s="6"/>
      <c r="SPS11" s="9"/>
      <c r="SPT11" s="6"/>
      <c r="SQE11" s="6"/>
      <c r="SQF11" s="6"/>
      <c r="SQG11" s="9"/>
      <c r="SQH11" s="6"/>
      <c r="SQS11" s="6"/>
      <c r="SQT11" s="6"/>
      <c r="SQU11" s="9"/>
      <c r="SQV11" s="6"/>
      <c r="SRG11" s="6"/>
      <c r="SRH11" s="6"/>
      <c r="SRI11" s="9"/>
      <c r="SRJ11" s="6"/>
      <c r="SRU11" s="6"/>
      <c r="SRV11" s="6"/>
      <c r="SRW11" s="9"/>
      <c r="SRX11" s="6"/>
      <c r="SSI11" s="6"/>
      <c r="SSJ11" s="6"/>
      <c r="SSK11" s="9"/>
      <c r="SSL11" s="6"/>
      <c r="SSW11" s="6"/>
      <c r="SSX11" s="6"/>
      <c r="SSY11" s="9"/>
      <c r="SSZ11" s="6"/>
      <c r="STK11" s="6"/>
      <c r="STL11" s="6"/>
      <c r="STM11" s="9"/>
      <c r="STN11" s="6"/>
      <c r="STY11" s="6"/>
      <c r="STZ11" s="6"/>
      <c r="SUA11" s="9"/>
      <c r="SUB11" s="6"/>
      <c r="SUM11" s="6"/>
      <c r="SUN11" s="6"/>
      <c r="SUO11" s="9"/>
      <c r="SUP11" s="6"/>
      <c r="SVA11" s="6"/>
      <c r="SVB11" s="6"/>
      <c r="SVC11" s="9"/>
      <c r="SVD11" s="6"/>
      <c r="SVO11" s="6"/>
      <c r="SVP11" s="6"/>
      <c r="SVQ11" s="9"/>
      <c r="SVR11" s="6"/>
      <c r="SWC11" s="6"/>
      <c r="SWD11" s="6"/>
      <c r="SWE11" s="9"/>
      <c r="SWF11" s="6"/>
      <c r="SWQ11" s="6"/>
      <c r="SWR11" s="6"/>
      <c r="SWS11" s="9"/>
      <c r="SWT11" s="6"/>
      <c r="SXE11" s="6"/>
      <c r="SXF11" s="6"/>
      <c r="SXG11" s="9"/>
      <c r="SXH11" s="6"/>
      <c r="SXS11" s="6"/>
      <c r="SXT11" s="6"/>
      <c r="SXU11" s="9"/>
      <c r="SXV11" s="6"/>
      <c r="SYG11" s="6"/>
      <c r="SYH11" s="6"/>
      <c r="SYI11" s="9"/>
      <c r="SYJ11" s="6"/>
      <c r="SYU11" s="6"/>
      <c r="SYV11" s="6"/>
      <c r="SYW11" s="9"/>
      <c r="SYX11" s="6"/>
      <c r="SZI11" s="6"/>
      <c r="SZJ11" s="6"/>
      <c r="SZK11" s="9"/>
      <c r="SZL11" s="6"/>
      <c r="SZW11" s="6"/>
      <c r="SZX11" s="6"/>
      <c r="SZY11" s="9"/>
      <c r="SZZ11" s="6"/>
      <c r="TAK11" s="6"/>
      <c r="TAL11" s="6"/>
      <c r="TAM11" s="9"/>
      <c r="TAN11" s="6"/>
      <c r="TAY11" s="6"/>
      <c r="TAZ11" s="6"/>
      <c r="TBA11" s="9"/>
      <c r="TBB11" s="6"/>
      <c r="TBM11" s="6"/>
      <c r="TBN11" s="6"/>
      <c r="TBO11" s="9"/>
      <c r="TBP11" s="6"/>
      <c r="TCA11" s="6"/>
      <c r="TCB11" s="6"/>
      <c r="TCC11" s="9"/>
      <c r="TCD11" s="6"/>
      <c r="TCO11" s="6"/>
      <c r="TCP11" s="6"/>
      <c r="TCQ11" s="9"/>
      <c r="TCR11" s="6"/>
      <c r="TDC11" s="6"/>
      <c r="TDD11" s="6"/>
      <c r="TDE11" s="9"/>
      <c r="TDF11" s="6"/>
      <c r="TDQ11" s="6"/>
      <c r="TDR11" s="6"/>
      <c r="TDS11" s="9"/>
      <c r="TDT11" s="6"/>
      <c r="TEE11" s="6"/>
      <c r="TEF11" s="6"/>
      <c r="TEG11" s="9"/>
      <c r="TEH11" s="6"/>
      <c r="TES11" s="6"/>
      <c r="TET11" s="6"/>
      <c r="TEU11" s="9"/>
      <c r="TEV11" s="6"/>
      <c r="TFG11" s="6"/>
      <c r="TFH11" s="6"/>
      <c r="TFI11" s="9"/>
      <c r="TFJ11" s="6"/>
      <c r="TFU11" s="6"/>
      <c r="TFV11" s="6"/>
      <c r="TFW11" s="9"/>
      <c r="TFX11" s="6"/>
      <c r="TGI11" s="6"/>
      <c r="TGJ11" s="6"/>
      <c r="TGK11" s="9"/>
      <c r="TGL11" s="6"/>
      <c r="TGW11" s="6"/>
      <c r="TGX11" s="6"/>
      <c r="TGY11" s="9"/>
      <c r="TGZ11" s="6"/>
      <c r="THK11" s="6"/>
      <c r="THL11" s="6"/>
      <c r="THM11" s="9"/>
      <c r="THN11" s="6"/>
      <c r="THY11" s="6"/>
      <c r="THZ11" s="6"/>
      <c r="TIA11" s="9"/>
      <c r="TIB11" s="6"/>
      <c r="TIM11" s="6"/>
      <c r="TIN11" s="6"/>
      <c r="TIO11" s="9"/>
      <c r="TIP11" s="6"/>
      <c r="TJA11" s="6"/>
      <c r="TJB11" s="6"/>
      <c r="TJC11" s="9"/>
      <c r="TJD11" s="6"/>
      <c r="TJO11" s="6"/>
      <c r="TJP11" s="6"/>
      <c r="TJQ11" s="9"/>
      <c r="TJR11" s="6"/>
      <c r="TKC11" s="6"/>
      <c r="TKD11" s="6"/>
      <c r="TKE11" s="9"/>
      <c r="TKF11" s="6"/>
      <c r="TKQ11" s="6"/>
      <c r="TKR11" s="6"/>
      <c r="TKS11" s="9"/>
      <c r="TKT11" s="6"/>
      <c r="TLE11" s="6"/>
      <c r="TLF11" s="6"/>
      <c r="TLG11" s="9"/>
      <c r="TLH11" s="6"/>
      <c r="TLS11" s="6"/>
      <c r="TLT11" s="6"/>
      <c r="TLU11" s="9"/>
      <c r="TLV11" s="6"/>
      <c r="TMG11" s="6"/>
      <c r="TMH11" s="6"/>
      <c r="TMI11" s="9"/>
      <c r="TMJ11" s="6"/>
      <c r="TMU11" s="6"/>
      <c r="TMV11" s="6"/>
      <c r="TMW11" s="9"/>
      <c r="TMX11" s="6"/>
      <c r="TNI11" s="6"/>
      <c r="TNJ11" s="6"/>
      <c r="TNK11" s="9"/>
      <c r="TNL11" s="6"/>
      <c r="TNW11" s="6"/>
      <c r="TNX11" s="6"/>
      <c r="TNY11" s="9"/>
      <c r="TNZ11" s="6"/>
      <c r="TOK11" s="6"/>
      <c r="TOL11" s="6"/>
      <c r="TOM11" s="9"/>
      <c r="TON11" s="6"/>
      <c r="TOY11" s="6"/>
      <c r="TOZ11" s="6"/>
      <c r="TPA11" s="9"/>
      <c r="TPB11" s="6"/>
      <c r="TPM11" s="6"/>
      <c r="TPN11" s="6"/>
      <c r="TPO11" s="9"/>
      <c r="TPP11" s="6"/>
      <c r="TQA11" s="6"/>
      <c r="TQB11" s="6"/>
      <c r="TQC11" s="9"/>
      <c r="TQD11" s="6"/>
      <c r="TQO11" s="6"/>
      <c r="TQP11" s="6"/>
      <c r="TQQ11" s="9"/>
      <c r="TQR11" s="6"/>
      <c r="TRC11" s="6"/>
      <c r="TRD11" s="6"/>
      <c r="TRE11" s="9"/>
      <c r="TRF11" s="6"/>
      <c r="TRQ11" s="6"/>
      <c r="TRR11" s="6"/>
      <c r="TRS11" s="9"/>
      <c r="TRT11" s="6"/>
      <c r="TSE11" s="6"/>
      <c r="TSF11" s="6"/>
      <c r="TSG11" s="9"/>
      <c r="TSH11" s="6"/>
      <c r="TSS11" s="6"/>
      <c r="TST11" s="6"/>
      <c r="TSU11" s="9"/>
      <c r="TSV11" s="6"/>
      <c r="TTG11" s="6"/>
      <c r="TTH11" s="6"/>
      <c r="TTI11" s="9"/>
      <c r="TTJ11" s="6"/>
      <c r="TTU11" s="6"/>
      <c r="TTV11" s="6"/>
      <c r="TTW11" s="9"/>
      <c r="TTX11" s="6"/>
      <c r="TUI11" s="6"/>
      <c r="TUJ11" s="6"/>
      <c r="TUK11" s="9"/>
      <c r="TUL11" s="6"/>
      <c r="TUW11" s="6"/>
      <c r="TUX11" s="6"/>
      <c r="TUY11" s="9"/>
      <c r="TUZ11" s="6"/>
      <c r="TVK11" s="6"/>
      <c r="TVL11" s="6"/>
      <c r="TVM11" s="9"/>
      <c r="TVN11" s="6"/>
      <c r="TVY11" s="6"/>
      <c r="TVZ11" s="6"/>
      <c r="TWA11" s="9"/>
      <c r="TWB11" s="6"/>
      <c r="TWM11" s="6"/>
      <c r="TWN11" s="6"/>
      <c r="TWO11" s="9"/>
      <c r="TWP11" s="6"/>
      <c r="TXA11" s="6"/>
      <c r="TXB11" s="6"/>
      <c r="TXC11" s="9"/>
      <c r="TXD11" s="6"/>
      <c r="TXO11" s="6"/>
      <c r="TXP11" s="6"/>
      <c r="TXQ11" s="9"/>
      <c r="TXR11" s="6"/>
      <c r="TYC11" s="6"/>
      <c r="TYD11" s="6"/>
      <c r="TYE11" s="9"/>
      <c r="TYF11" s="6"/>
      <c r="TYQ11" s="6"/>
      <c r="TYR11" s="6"/>
      <c r="TYS11" s="9"/>
      <c r="TYT11" s="6"/>
      <c r="TZE11" s="6"/>
      <c r="TZF11" s="6"/>
      <c r="TZG11" s="9"/>
      <c r="TZH11" s="6"/>
      <c r="TZS11" s="6"/>
      <c r="TZT11" s="6"/>
      <c r="TZU11" s="9"/>
      <c r="TZV11" s="6"/>
      <c r="UAG11" s="6"/>
      <c r="UAH11" s="6"/>
      <c r="UAI11" s="9"/>
      <c r="UAJ11" s="6"/>
      <c r="UAU11" s="6"/>
      <c r="UAV11" s="6"/>
      <c r="UAW11" s="9"/>
      <c r="UAX11" s="6"/>
      <c r="UBI11" s="6"/>
      <c r="UBJ11" s="6"/>
      <c r="UBK11" s="9"/>
      <c r="UBL11" s="6"/>
      <c r="UBW11" s="6"/>
      <c r="UBX11" s="6"/>
      <c r="UBY11" s="9"/>
      <c r="UBZ11" s="6"/>
      <c r="UCK11" s="6"/>
      <c r="UCL11" s="6"/>
      <c r="UCM11" s="9"/>
      <c r="UCN11" s="6"/>
      <c r="UCY11" s="6"/>
      <c r="UCZ11" s="6"/>
      <c r="UDA11" s="9"/>
      <c r="UDB11" s="6"/>
      <c r="UDM11" s="6"/>
      <c r="UDN11" s="6"/>
      <c r="UDO11" s="9"/>
      <c r="UDP11" s="6"/>
      <c r="UEA11" s="6"/>
      <c r="UEB11" s="6"/>
      <c r="UEC11" s="9"/>
      <c r="UED11" s="6"/>
      <c r="UEO11" s="6"/>
      <c r="UEP11" s="6"/>
      <c r="UEQ11" s="9"/>
      <c r="UER11" s="6"/>
      <c r="UFC11" s="6"/>
      <c r="UFD11" s="6"/>
      <c r="UFE11" s="9"/>
      <c r="UFF11" s="6"/>
      <c r="UFQ11" s="6"/>
      <c r="UFR11" s="6"/>
      <c r="UFS11" s="9"/>
      <c r="UFT11" s="6"/>
      <c r="UGE11" s="6"/>
      <c r="UGF11" s="6"/>
      <c r="UGG11" s="9"/>
      <c r="UGH11" s="6"/>
      <c r="UGS11" s="6"/>
      <c r="UGT11" s="6"/>
      <c r="UGU11" s="9"/>
      <c r="UGV11" s="6"/>
      <c r="UHG11" s="6"/>
      <c r="UHH11" s="6"/>
      <c r="UHI11" s="9"/>
      <c r="UHJ11" s="6"/>
      <c r="UHU11" s="6"/>
      <c r="UHV11" s="6"/>
      <c r="UHW11" s="9"/>
      <c r="UHX11" s="6"/>
      <c r="UII11" s="6"/>
      <c r="UIJ11" s="6"/>
      <c r="UIK11" s="9"/>
      <c r="UIL11" s="6"/>
      <c r="UIW11" s="6"/>
      <c r="UIX11" s="6"/>
      <c r="UIY11" s="9"/>
      <c r="UIZ11" s="6"/>
      <c r="UJK11" s="6"/>
      <c r="UJL11" s="6"/>
      <c r="UJM11" s="9"/>
      <c r="UJN11" s="6"/>
      <c r="UJY11" s="6"/>
      <c r="UJZ11" s="6"/>
      <c r="UKA11" s="9"/>
      <c r="UKB11" s="6"/>
      <c r="UKM11" s="6"/>
      <c r="UKN11" s="6"/>
      <c r="UKO11" s="9"/>
      <c r="UKP11" s="6"/>
      <c r="ULA11" s="6"/>
      <c r="ULB11" s="6"/>
      <c r="ULC11" s="9"/>
      <c r="ULD11" s="6"/>
      <c r="ULO11" s="6"/>
      <c r="ULP11" s="6"/>
      <c r="ULQ11" s="9"/>
      <c r="ULR11" s="6"/>
      <c r="UMC11" s="6"/>
      <c r="UMD11" s="6"/>
      <c r="UME11" s="9"/>
      <c r="UMF11" s="6"/>
      <c r="UMQ11" s="6"/>
      <c r="UMR11" s="6"/>
      <c r="UMS11" s="9"/>
      <c r="UMT11" s="6"/>
      <c r="UNE11" s="6"/>
      <c r="UNF11" s="6"/>
      <c r="UNG11" s="9"/>
      <c r="UNH11" s="6"/>
      <c r="UNS11" s="6"/>
      <c r="UNT11" s="6"/>
      <c r="UNU11" s="9"/>
      <c r="UNV11" s="6"/>
      <c r="UOG11" s="6"/>
      <c r="UOH11" s="6"/>
      <c r="UOI11" s="9"/>
      <c r="UOJ11" s="6"/>
      <c r="UOU11" s="6"/>
      <c r="UOV11" s="6"/>
      <c r="UOW11" s="9"/>
      <c r="UOX11" s="6"/>
      <c r="UPI11" s="6"/>
      <c r="UPJ11" s="6"/>
      <c r="UPK11" s="9"/>
      <c r="UPL11" s="6"/>
      <c r="UPW11" s="6"/>
      <c r="UPX11" s="6"/>
      <c r="UPY11" s="9"/>
      <c r="UPZ11" s="6"/>
      <c r="UQK11" s="6"/>
      <c r="UQL11" s="6"/>
      <c r="UQM11" s="9"/>
      <c r="UQN11" s="6"/>
      <c r="UQY11" s="6"/>
      <c r="UQZ11" s="6"/>
      <c r="URA11" s="9"/>
      <c r="URB11" s="6"/>
      <c r="URM11" s="6"/>
      <c r="URN11" s="6"/>
      <c r="URO11" s="9"/>
      <c r="URP11" s="6"/>
      <c r="USA11" s="6"/>
      <c r="USB11" s="6"/>
      <c r="USC11" s="9"/>
      <c r="USD11" s="6"/>
      <c r="USO11" s="6"/>
      <c r="USP11" s="6"/>
      <c r="USQ11" s="9"/>
      <c r="USR11" s="6"/>
      <c r="UTC11" s="6"/>
      <c r="UTD11" s="6"/>
      <c r="UTE11" s="9"/>
      <c r="UTF11" s="6"/>
      <c r="UTQ11" s="6"/>
      <c r="UTR11" s="6"/>
      <c r="UTS11" s="9"/>
      <c r="UTT11" s="6"/>
      <c r="UUE11" s="6"/>
      <c r="UUF11" s="6"/>
      <c r="UUG11" s="9"/>
      <c r="UUH11" s="6"/>
      <c r="UUS11" s="6"/>
      <c r="UUT11" s="6"/>
      <c r="UUU11" s="9"/>
      <c r="UUV11" s="6"/>
      <c r="UVG11" s="6"/>
      <c r="UVH11" s="6"/>
      <c r="UVI11" s="9"/>
      <c r="UVJ11" s="6"/>
      <c r="UVU11" s="6"/>
      <c r="UVV11" s="6"/>
      <c r="UVW11" s="9"/>
      <c r="UVX11" s="6"/>
      <c r="UWI11" s="6"/>
      <c r="UWJ11" s="6"/>
      <c r="UWK11" s="9"/>
      <c r="UWL11" s="6"/>
      <c r="UWW11" s="6"/>
      <c r="UWX11" s="6"/>
      <c r="UWY11" s="9"/>
      <c r="UWZ11" s="6"/>
      <c r="UXK11" s="6"/>
      <c r="UXL11" s="6"/>
      <c r="UXM11" s="9"/>
      <c r="UXN11" s="6"/>
      <c r="UXY11" s="6"/>
      <c r="UXZ11" s="6"/>
      <c r="UYA11" s="9"/>
      <c r="UYB11" s="6"/>
      <c r="UYM11" s="6"/>
      <c r="UYN11" s="6"/>
      <c r="UYO11" s="9"/>
      <c r="UYP11" s="6"/>
      <c r="UZA11" s="6"/>
      <c r="UZB11" s="6"/>
      <c r="UZC11" s="9"/>
      <c r="UZD11" s="6"/>
      <c r="UZO11" s="6"/>
      <c r="UZP11" s="6"/>
      <c r="UZQ11" s="9"/>
      <c r="UZR11" s="6"/>
      <c r="VAC11" s="6"/>
      <c r="VAD11" s="6"/>
      <c r="VAE11" s="9"/>
      <c r="VAF11" s="6"/>
      <c r="VAQ11" s="6"/>
      <c r="VAR11" s="6"/>
      <c r="VAS11" s="9"/>
      <c r="VAT11" s="6"/>
      <c r="VBE11" s="6"/>
      <c r="VBF11" s="6"/>
      <c r="VBG11" s="9"/>
      <c r="VBH11" s="6"/>
      <c r="VBS11" s="6"/>
      <c r="VBT11" s="6"/>
      <c r="VBU11" s="9"/>
      <c r="VBV11" s="6"/>
      <c r="VCG11" s="6"/>
      <c r="VCH11" s="6"/>
      <c r="VCI11" s="9"/>
      <c r="VCJ11" s="6"/>
      <c r="VCU11" s="6"/>
      <c r="VCV11" s="6"/>
      <c r="VCW11" s="9"/>
      <c r="VCX11" s="6"/>
      <c r="VDI11" s="6"/>
      <c r="VDJ11" s="6"/>
      <c r="VDK11" s="9"/>
      <c r="VDL11" s="6"/>
      <c r="VDW11" s="6"/>
      <c r="VDX11" s="6"/>
      <c r="VDY11" s="9"/>
      <c r="VDZ11" s="6"/>
      <c r="VEK11" s="6"/>
      <c r="VEL11" s="6"/>
      <c r="VEM11" s="9"/>
      <c r="VEN11" s="6"/>
      <c r="VEY11" s="6"/>
      <c r="VEZ11" s="6"/>
      <c r="VFA11" s="9"/>
      <c r="VFB11" s="6"/>
      <c r="VFM11" s="6"/>
      <c r="VFN11" s="6"/>
      <c r="VFO11" s="9"/>
      <c r="VFP11" s="6"/>
      <c r="VGA11" s="6"/>
      <c r="VGB11" s="6"/>
      <c r="VGC11" s="9"/>
      <c r="VGD11" s="6"/>
      <c r="VGO11" s="6"/>
      <c r="VGP11" s="6"/>
      <c r="VGQ11" s="9"/>
      <c r="VGR11" s="6"/>
      <c r="VHC11" s="6"/>
      <c r="VHD11" s="6"/>
      <c r="VHE11" s="9"/>
      <c r="VHF11" s="6"/>
      <c r="VHQ11" s="6"/>
      <c r="VHR11" s="6"/>
      <c r="VHS11" s="9"/>
      <c r="VHT11" s="6"/>
      <c r="VIE11" s="6"/>
      <c r="VIF11" s="6"/>
      <c r="VIG11" s="9"/>
      <c r="VIH11" s="6"/>
      <c r="VIS11" s="6"/>
      <c r="VIT11" s="6"/>
      <c r="VIU11" s="9"/>
      <c r="VIV11" s="6"/>
      <c r="VJG11" s="6"/>
      <c r="VJH11" s="6"/>
      <c r="VJI11" s="9"/>
      <c r="VJJ11" s="6"/>
      <c r="VJU11" s="6"/>
      <c r="VJV11" s="6"/>
      <c r="VJW11" s="9"/>
      <c r="VJX11" s="6"/>
      <c r="VKI11" s="6"/>
      <c r="VKJ11" s="6"/>
      <c r="VKK11" s="9"/>
      <c r="VKL11" s="6"/>
      <c r="VKW11" s="6"/>
      <c r="VKX11" s="6"/>
      <c r="VKY11" s="9"/>
      <c r="VKZ11" s="6"/>
      <c r="VLK11" s="6"/>
      <c r="VLL11" s="6"/>
      <c r="VLM11" s="9"/>
      <c r="VLN11" s="6"/>
      <c r="VLY11" s="6"/>
      <c r="VLZ11" s="6"/>
      <c r="VMA11" s="9"/>
      <c r="VMB11" s="6"/>
      <c r="VMM11" s="6"/>
      <c r="VMN11" s="6"/>
      <c r="VMO11" s="9"/>
      <c r="VMP11" s="6"/>
      <c r="VNA11" s="6"/>
      <c r="VNB11" s="6"/>
      <c r="VNC11" s="9"/>
      <c r="VND11" s="6"/>
      <c r="VNO11" s="6"/>
      <c r="VNP11" s="6"/>
      <c r="VNQ11" s="9"/>
      <c r="VNR11" s="6"/>
      <c r="VOC11" s="6"/>
      <c r="VOD11" s="6"/>
      <c r="VOE11" s="9"/>
      <c r="VOF11" s="6"/>
      <c r="VOQ11" s="6"/>
      <c r="VOR11" s="6"/>
      <c r="VOS11" s="9"/>
      <c r="VOT11" s="6"/>
      <c r="VPE11" s="6"/>
      <c r="VPF11" s="6"/>
      <c r="VPG11" s="9"/>
      <c r="VPH11" s="6"/>
      <c r="VPS11" s="6"/>
      <c r="VPT11" s="6"/>
      <c r="VPU11" s="9"/>
      <c r="VPV11" s="6"/>
      <c r="VQG11" s="6"/>
      <c r="VQH11" s="6"/>
      <c r="VQI11" s="9"/>
      <c r="VQJ11" s="6"/>
      <c r="VQU11" s="6"/>
      <c r="VQV11" s="6"/>
      <c r="VQW11" s="9"/>
      <c r="VQX11" s="6"/>
      <c r="VRI11" s="6"/>
      <c r="VRJ11" s="6"/>
      <c r="VRK11" s="9"/>
      <c r="VRL11" s="6"/>
      <c r="VRW11" s="6"/>
      <c r="VRX11" s="6"/>
      <c r="VRY11" s="9"/>
      <c r="VRZ11" s="6"/>
      <c r="VSK11" s="6"/>
      <c r="VSL11" s="6"/>
      <c r="VSM11" s="9"/>
      <c r="VSN11" s="6"/>
      <c r="VSY11" s="6"/>
      <c r="VSZ11" s="6"/>
      <c r="VTA11" s="9"/>
      <c r="VTB11" s="6"/>
      <c r="VTM11" s="6"/>
      <c r="VTN11" s="6"/>
      <c r="VTO11" s="9"/>
      <c r="VTP11" s="6"/>
      <c r="VUA11" s="6"/>
      <c r="VUB11" s="6"/>
      <c r="VUC11" s="9"/>
      <c r="VUD11" s="6"/>
      <c r="VUO11" s="6"/>
      <c r="VUP11" s="6"/>
      <c r="VUQ11" s="9"/>
      <c r="VUR11" s="6"/>
      <c r="VVC11" s="6"/>
      <c r="VVD11" s="6"/>
      <c r="VVE11" s="9"/>
      <c r="VVF11" s="6"/>
      <c r="VVQ11" s="6"/>
      <c r="VVR11" s="6"/>
      <c r="VVS11" s="9"/>
      <c r="VVT11" s="6"/>
      <c r="VWE11" s="6"/>
      <c r="VWF11" s="6"/>
      <c r="VWG11" s="9"/>
      <c r="VWH11" s="6"/>
      <c r="VWS11" s="6"/>
      <c r="VWT11" s="6"/>
      <c r="VWU11" s="9"/>
      <c r="VWV11" s="6"/>
      <c r="VXG11" s="6"/>
      <c r="VXH11" s="6"/>
      <c r="VXI11" s="9"/>
      <c r="VXJ11" s="6"/>
      <c r="VXU11" s="6"/>
      <c r="VXV11" s="6"/>
      <c r="VXW11" s="9"/>
      <c r="VXX11" s="6"/>
      <c r="VYI11" s="6"/>
      <c r="VYJ11" s="6"/>
      <c r="VYK11" s="9"/>
      <c r="VYL11" s="6"/>
      <c r="VYW11" s="6"/>
      <c r="VYX11" s="6"/>
      <c r="VYY11" s="9"/>
      <c r="VYZ11" s="6"/>
      <c r="VZK11" s="6"/>
      <c r="VZL11" s="6"/>
      <c r="VZM11" s="9"/>
      <c r="VZN11" s="6"/>
      <c r="VZY11" s="6"/>
      <c r="VZZ11" s="6"/>
      <c r="WAA11" s="9"/>
      <c r="WAB11" s="6"/>
      <c r="WAM11" s="6"/>
      <c r="WAN11" s="6"/>
      <c r="WAO11" s="9"/>
      <c r="WAP11" s="6"/>
      <c r="WBA11" s="6"/>
      <c r="WBB11" s="6"/>
      <c r="WBC11" s="9"/>
      <c r="WBD11" s="6"/>
      <c r="WBO11" s="6"/>
      <c r="WBP11" s="6"/>
      <c r="WBQ11" s="9"/>
      <c r="WBR11" s="6"/>
      <c r="WCC11" s="6"/>
      <c r="WCD11" s="6"/>
      <c r="WCE11" s="9"/>
      <c r="WCF11" s="6"/>
      <c r="WCQ11" s="6"/>
      <c r="WCR11" s="6"/>
      <c r="WCS11" s="9"/>
      <c r="WCT11" s="6"/>
      <c r="WDE11" s="6"/>
      <c r="WDF11" s="6"/>
      <c r="WDG11" s="9"/>
      <c r="WDH11" s="6"/>
      <c r="WDS11" s="6"/>
      <c r="WDT11" s="6"/>
      <c r="WDU11" s="9"/>
      <c r="WDV11" s="6"/>
      <c r="WEG11" s="6"/>
      <c r="WEH11" s="6"/>
      <c r="WEI11" s="9"/>
      <c r="WEJ11" s="6"/>
      <c r="WEU11" s="6"/>
      <c r="WEV11" s="6"/>
      <c r="WEW11" s="9"/>
      <c r="WEX11" s="6"/>
      <c r="WFI11" s="6"/>
      <c r="WFJ11" s="6"/>
      <c r="WFK11" s="9"/>
      <c r="WFL11" s="6"/>
      <c r="WFW11" s="6"/>
      <c r="WFX11" s="6"/>
      <c r="WFY11" s="9"/>
      <c r="WFZ11" s="6"/>
      <c r="WGK11" s="6"/>
      <c r="WGL11" s="6"/>
      <c r="WGM11" s="9"/>
      <c r="WGN11" s="6"/>
      <c r="WGY11" s="6"/>
      <c r="WGZ11" s="6"/>
      <c r="WHA11" s="9"/>
      <c r="WHB11" s="6"/>
      <c r="WHM11" s="6"/>
      <c r="WHN11" s="6"/>
      <c r="WHO11" s="9"/>
      <c r="WHP11" s="6"/>
      <c r="WIA11" s="6"/>
      <c r="WIB11" s="6"/>
      <c r="WIC11" s="9"/>
      <c r="WID11" s="6"/>
      <c r="WIO11" s="6"/>
      <c r="WIP11" s="6"/>
      <c r="WIQ11" s="9"/>
      <c r="WIR11" s="6"/>
      <c r="WJC11" s="6"/>
      <c r="WJD11" s="6"/>
      <c r="WJE11" s="9"/>
      <c r="WJF11" s="6"/>
      <c r="WJQ11" s="6"/>
      <c r="WJR11" s="6"/>
      <c r="WJS11" s="9"/>
      <c r="WJT11" s="6"/>
      <c r="WKE11" s="6"/>
      <c r="WKF11" s="6"/>
      <c r="WKG11" s="9"/>
      <c r="WKH11" s="6"/>
      <c r="WKS11" s="6"/>
      <c r="WKT11" s="6"/>
      <c r="WKU11" s="9"/>
      <c r="WKV11" s="6"/>
      <c r="WLG11" s="6"/>
      <c r="WLH11" s="6"/>
      <c r="WLI11" s="9"/>
      <c r="WLJ11" s="6"/>
      <c r="WLU11" s="6"/>
      <c r="WLV11" s="6"/>
      <c r="WLW11" s="9"/>
      <c r="WLX11" s="6"/>
      <c r="WMI11" s="6"/>
      <c r="WMJ11" s="6"/>
      <c r="WMK11" s="9"/>
      <c r="WML11" s="6"/>
      <c r="WMW11" s="6"/>
      <c r="WMX11" s="6"/>
      <c r="WMY11" s="9"/>
      <c r="WMZ11" s="6"/>
      <c r="WNK11" s="6"/>
      <c r="WNL11" s="6"/>
      <c r="WNM11" s="9"/>
      <c r="WNN11" s="6"/>
      <c r="WNY11" s="6"/>
      <c r="WNZ11" s="6"/>
      <c r="WOA11" s="9"/>
      <c r="WOB11" s="6"/>
      <c r="WOM11" s="6"/>
      <c r="WON11" s="6"/>
      <c r="WOO11" s="9"/>
      <c r="WOP11" s="6"/>
      <c r="WPA11" s="6"/>
      <c r="WPB11" s="6"/>
      <c r="WPC11" s="9"/>
      <c r="WPD11" s="6"/>
      <c r="WPO11" s="6"/>
      <c r="WPP11" s="6"/>
      <c r="WPQ11" s="9"/>
      <c r="WPR11" s="6"/>
      <c r="WQC11" s="6"/>
      <c r="WQD11" s="6"/>
      <c r="WQE11" s="9"/>
      <c r="WQF11" s="6"/>
      <c r="WQQ11" s="6"/>
      <c r="WQR11" s="6"/>
      <c r="WQS11" s="9"/>
      <c r="WQT11" s="6"/>
      <c r="WRE11" s="6"/>
      <c r="WRF11" s="6"/>
      <c r="WRG11" s="9"/>
      <c r="WRH11" s="6"/>
      <c r="WRS11" s="6"/>
      <c r="WRT11" s="6"/>
      <c r="WRU11" s="9"/>
      <c r="WRV11" s="6"/>
      <c r="WSG11" s="6"/>
      <c r="WSH11" s="6"/>
      <c r="WSI11" s="9"/>
      <c r="WSJ11" s="6"/>
      <c r="WSU11" s="6"/>
      <c r="WSV11" s="6"/>
      <c r="WSW11" s="9"/>
      <c r="WSX11" s="6"/>
      <c r="WTI11" s="6"/>
      <c r="WTJ11" s="6"/>
      <c r="WTK11" s="9"/>
      <c r="WTL11" s="6"/>
      <c r="WTW11" s="6"/>
      <c r="WTX11" s="6"/>
      <c r="WTY11" s="9"/>
      <c r="WTZ11" s="6"/>
      <c r="WUK11" s="6"/>
      <c r="WUL11" s="6"/>
      <c r="WUM11" s="9"/>
      <c r="WUN11" s="6"/>
      <c r="WUY11" s="6"/>
      <c r="WUZ11" s="6"/>
      <c r="WVA11" s="9"/>
      <c r="WVB11" s="6"/>
      <c r="WVM11" s="6"/>
      <c r="WVN11" s="6"/>
      <c r="WVO11" s="9"/>
      <c r="WVP11" s="6"/>
      <c r="WWA11" s="6"/>
      <c r="WWB11" s="6"/>
      <c r="WWC11" s="9"/>
      <c r="WWD11" s="6"/>
      <c r="WWO11" s="6"/>
      <c r="WWP11" s="6"/>
      <c r="WWQ11" s="9"/>
      <c r="WWR11" s="6"/>
      <c r="WXC11" s="6"/>
      <c r="WXD11" s="6"/>
      <c r="WXE11" s="9"/>
      <c r="WXF11" s="6"/>
      <c r="WXQ11" s="6"/>
      <c r="WXR11" s="6"/>
      <c r="WXS11" s="9"/>
      <c r="WXT11" s="6"/>
      <c r="WYE11" s="6"/>
      <c r="WYF11" s="6"/>
      <c r="WYG11" s="9"/>
      <c r="WYH11" s="6"/>
      <c r="WYS11" s="6"/>
      <c r="WYT11" s="6"/>
      <c r="WYU11" s="9"/>
      <c r="WYV11" s="6"/>
      <c r="WZG11" s="6"/>
      <c r="WZH11" s="6"/>
      <c r="WZI11" s="9"/>
      <c r="WZJ11" s="6"/>
      <c r="WZU11" s="6"/>
      <c r="WZV11" s="6"/>
      <c r="WZW11" s="9"/>
      <c r="WZX11" s="6"/>
      <c r="XAI11" s="6"/>
      <c r="XAJ11" s="6"/>
      <c r="XAK11" s="9"/>
      <c r="XAL11" s="6"/>
      <c r="XAW11" s="6"/>
      <c r="XAX11" s="6"/>
      <c r="XAY11" s="9"/>
      <c r="XAZ11" s="6"/>
      <c r="XBK11" s="6"/>
      <c r="XBL11" s="6"/>
      <c r="XBM11" s="9"/>
      <c r="XBN11" s="6"/>
      <c r="XBY11" s="6"/>
      <c r="XBZ11" s="6"/>
      <c r="XCA11" s="9"/>
      <c r="XCB11" s="6"/>
      <c r="XCM11" s="6"/>
      <c r="XCN11" s="6"/>
      <c r="XCO11" s="9"/>
      <c r="XCP11" s="6"/>
      <c r="XDA11" s="6"/>
      <c r="XDB11" s="6"/>
      <c r="XDC11" s="9"/>
      <c r="XDD11" s="6"/>
      <c r="XDO11" s="6"/>
      <c r="XDP11" s="6"/>
      <c r="XDQ11" s="9"/>
      <c r="XDR11" s="6"/>
      <c r="XEC11" s="6"/>
      <c r="XED11" s="6"/>
      <c r="XEE11" s="9"/>
      <c r="XEF11" s="6"/>
      <c r="XEQ11" s="6"/>
      <c r="XER11" s="6"/>
      <c r="XES11" s="9"/>
      <c r="XET11" s="6"/>
      <c r="XEU11" s="0"/>
      <c r="XEV11" s="0"/>
      <c r="XEW11" s="0"/>
      <c r="XEX11" s="0"/>
      <c r="XEY11" s="0"/>
      <c r="XEZ11" s="0"/>
    </row>
    <row r="12" customFormat="false" ht="22.05" hidden="false" customHeight="false" outlineLevel="0" collapsed="false">
      <c r="A12" s="2" t="s">
        <v>21</v>
      </c>
      <c r="B12" s="2"/>
      <c r="C12" s="2"/>
      <c r="D12" s="2"/>
    </row>
    <row r="13" customFormat="false" ht="22.05" hidden="false" customHeight="false" outlineLevel="0" collapsed="false">
      <c r="B13" s="1" t="s">
        <v>1</v>
      </c>
      <c r="C13" s="1" t="s">
        <v>2</v>
      </c>
      <c r="D13" s="1" t="s">
        <v>3</v>
      </c>
      <c r="E13" s="10" t="s">
        <v>10</v>
      </c>
      <c r="F13" s="10" t="s">
        <v>11</v>
      </c>
      <c r="G13" s="4" t="s">
        <v>12</v>
      </c>
      <c r="H13" s="4" t="s">
        <v>13</v>
      </c>
    </row>
    <row r="14" customFormat="false" ht="22.05" hidden="false" customHeight="false" outlineLevel="0" collapsed="false">
      <c r="A14" s="1" t="s">
        <v>14</v>
      </c>
      <c r="B14" s="1" t="n">
        <v>38</v>
      </c>
      <c r="C14" s="5" t="n">
        <v>25</v>
      </c>
      <c r="D14" s="1" t="n">
        <v>35</v>
      </c>
      <c r="E14" s="1" t="n">
        <f aca="false">AVERAGE(B14:D14)</f>
        <v>32.6666666666667</v>
      </c>
      <c r="F14" s="11" t="n">
        <f aca="false">STDEV(B14:D14)/SQRT(3)</f>
        <v>3.92994204085053</v>
      </c>
      <c r="G14" s="7" t="n">
        <f aca="false">E14/$E$14</f>
        <v>1</v>
      </c>
      <c r="H14" s="7" t="n">
        <f aca="false">F14/$E$14</f>
        <v>0.120304348189302</v>
      </c>
    </row>
    <row r="15" customFormat="false" ht="22.05" hidden="false" customHeight="false" outlineLevel="0" collapsed="false">
      <c r="A15" s="1" t="s">
        <v>15</v>
      </c>
      <c r="B15" s="1" t="n">
        <v>36</v>
      </c>
      <c r="C15" s="5" t="n">
        <v>24</v>
      </c>
      <c r="D15" s="1" t="n">
        <v>32</v>
      </c>
      <c r="E15" s="1" t="n">
        <f aca="false">AVERAGE(B15:D15)</f>
        <v>30.6666666666667</v>
      </c>
      <c r="F15" s="11" t="n">
        <f aca="false">STDEV(B15:D15)/SQRT(3)</f>
        <v>3.52766841475279</v>
      </c>
      <c r="G15" s="7" t="n">
        <f aca="false">E15/$E$14</f>
        <v>0.938775510204082</v>
      </c>
      <c r="H15" s="7" t="n">
        <f aca="false">F15/$E$14</f>
        <v>0.107989849431208</v>
      </c>
    </row>
    <row r="16" customFormat="false" ht="22.05" hidden="false" customHeight="false" outlineLevel="0" collapsed="false">
      <c r="A16" s="1" t="s">
        <v>16</v>
      </c>
      <c r="B16" s="1" t="n">
        <v>32</v>
      </c>
      <c r="C16" s="5" t="n">
        <v>23</v>
      </c>
      <c r="D16" s="1" t="n">
        <v>42</v>
      </c>
      <c r="E16" s="1" t="n">
        <f aca="false">AVERAGE(B16:D16)</f>
        <v>32.3333333333333</v>
      </c>
      <c r="F16" s="11" t="n">
        <f aca="false">STDEV(B16:D16)/SQRT(3)</f>
        <v>5.48735921105144</v>
      </c>
      <c r="G16" s="7" t="n">
        <f aca="false">E16/$E$14</f>
        <v>0.989795918367347</v>
      </c>
      <c r="H16" s="7" t="n">
        <f aca="false">F16/$E$14</f>
        <v>0.167980384011779</v>
      </c>
    </row>
    <row r="17" customFormat="false" ht="22.05" hidden="false" customHeight="false" outlineLevel="0" collapsed="false">
      <c r="A17" s="1" t="s">
        <v>17</v>
      </c>
      <c r="B17" s="1" t="n">
        <v>43</v>
      </c>
      <c r="C17" s="5" t="n">
        <v>26</v>
      </c>
      <c r="D17" s="1" t="n">
        <v>32</v>
      </c>
      <c r="E17" s="1" t="n">
        <f aca="false">AVERAGE(B17:D17)</f>
        <v>33.6666666666667</v>
      </c>
      <c r="F17" s="11" t="n">
        <f aca="false">STDEV(B17:D17)/SQRT(3)</f>
        <v>4.97772817435603</v>
      </c>
      <c r="G17" s="7" t="n">
        <f aca="false">E17/$E$14</f>
        <v>1.03061224489796</v>
      </c>
      <c r="H17" s="7" t="n">
        <f aca="false">F17/$E$14</f>
        <v>0.152379433908858</v>
      </c>
    </row>
    <row r="18" customFormat="false" ht="22.05" hidden="false" customHeight="false" outlineLevel="0" collapsed="false">
      <c r="A18" s="1" t="s">
        <v>18</v>
      </c>
      <c r="B18" s="1" t="n">
        <v>35</v>
      </c>
      <c r="C18" s="5" t="n">
        <v>26</v>
      </c>
      <c r="D18" s="1" t="n">
        <v>36</v>
      </c>
      <c r="E18" s="1" t="n">
        <f aca="false">AVERAGE(B18:D18)</f>
        <v>32.3333333333333</v>
      </c>
      <c r="F18" s="11" t="n">
        <f aca="false">STDEV(B18:D18)/SQRT(3)</f>
        <v>3.17979733805649</v>
      </c>
      <c r="G18" s="7" t="n">
        <f aca="false">E18/$E$14</f>
        <v>0.989795918367347</v>
      </c>
      <c r="H18" s="7" t="n">
        <f aca="false">F18/$E$14</f>
        <v>0.0973407348384639</v>
      </c>
    </row>
    <row r="19" customFormat="false" ht="22.05" hidden="false" customHeight="false" outlineLevel="0" collapsed="false">
      <c r="A19" s="1" t="s">
        <v>20</v>
      </c>
      <c r="B19" s="1" t="n">
        <v>36</v>
      </c>
      <c r="C19" s="12" t="s">
        <v>19</v>
      </c>
      <c r="D19" s="1" t="n">
        <v>33</v>
      </c>
      <c r="E19" s="1" t="n">
        <f aca="false">AVERAGE(B19:D19)</f>
        <v>34.5</v>
      </c>
      <c r="F19" s="11" t="n">
        <f aca="false">STDEV(B19:D19)/SQRT(3)</f>
        <v>1.22474487139159</v>
      </c>
      <c r="G19" s="7" t="n">
        <f aca="false">E19/$E$14</f>
        <v>1.05612244897959</v>
      </c>
      <c r="H19" s="7" t="n">
        <f aca="false">F19/$E$14</f>
        <v>0.0374921899405589</v>
      </c>
    </row>
    <row r="21" customFormat="false" ht="22.05" hidden="false" customHeight="false" outlineLevel="0" collapsed="false">
      <c r="A21" s="2" t="s">
        <v>22</v>
      </c>
      <c r="B21" s="2"/>
      <c r="C21" s="2"/>
      <c r="D21" s="2"/>
      <c r="E21" s="2"/>
      <c r="F21" s="2"/>
    </row>
    <row r="22" customFormat="false" ht="22.05" hidden="false" customHeight="false" outlineLevel="0" collapsed="false">
      <c r="B22" s="1" t="s">
        <v>1</v>
      </c>
      <c r="C22" s="1" t="s">
        <v>2</v>
      </c>
      <c r="D22" s="1" t="s">
        <v>3</v>
      </c>
      <c r="E22" s="1" t="s">
        <v>4</v>
      </c>
      <c r="F22" s="10" t="s">
        <v>10</v>
      </c>
      <c r="G22" s="10" t="s">
        <v>11</v>
      </c>
      <c r="H22" s="4" t="s">
        <v>12</v>
      </c>
      <c r="I22" s="4" t="s">
        <v>13</v>
      </c>
    </row>
    <row r="23" customFormat="false" ht="22.05" hidden="false" customHeight="false" outlineLevel="0" collapsed="false">
      <c r="A23" s="1" t="s">
        <v>14</v>
      </c>
      <c r="B23" s="1" t="n">
        <v>34</v>
      </c>
      <c r="C23" s="1" t="n">
        <v>43</v>
      </c>
      <c r="D23" s="1" t="n">
        <v>40</v>
      </c>
      <c r="E23" s="1" t="n">
        <v>55</v>
      </c>
      <c r="F23" s="11" t="n">
        <f aca="false">AVERAGE(B23:E23)</f>
        <v>43</v>
      </c>
      <c r="G23" s="11" t="n">
        <f aca="false">STDEV(B23:E23)/SQRT(4)</f>
        <v>4.41588043316392</v>
      </c>
      <c r="H23" s="7" t="n">
        <f aca="false">F23/$F$23</f>
        <v>1</v>
      </c>
      <c r="I23" s="7" t="n">
        <f aca="false">G23/$F$23</f>
        <v>0.10269489379451</v>
      </c>
    </row>
    <row r="24" customFormat="false" ht="22.05" hidden="false" customHeight="false" outlineLevel="0" collapsed="false">
      <c r="A24" s="1" t="s">
        <v>15</v>
      </c>
      <c r="B24" s="1" t="n">
        <v>33</v>
      </c>
      <c r="C24" s="1" t="n">
        <v>33</v>
      </c>
      <c r="D24" s="1" t="n">
        <v>39</v>
      </c>
      <c r="E24" s="1" t="n">
        <v>53</v>
      </c>
      <c r="F24" s="11" t="n">
        <f aca="false">AVERAGE(B24:E24)</f>
        <v>39.5</v>
      </c>
      <c r="G24" s="11" t="n">
        <f aca="false">STDEV(B24:E24)/SQRT(4)</f>
        <v>4.7169905660283</v>
      </c>
      <c r="H24" s="7" t="n">
        <f aca="false">F24/$F$23</f>
        <v>0.918604651162791</v>
      </c>
      <c r="I24" s="7" t="n">
        <f aca="false">G24/$F$23</f>
        <v>0.109697455023914</v>
      </c>
    </row>
    <row r="25" customFormat="false" ht="22.05" hidden="false" customHeight="false" outlineLevel="0" collapsed="false">
      <c r="A25" s="1" t="s">
        <v>16</v>
      </c>
      <c r="B25" s="1" t="n">
        <v>45</v>
      </c>
      <c r="C25" s="1" t="n">
        <v>28</v>
      </c>
      <c r="D25" s="1" t="n">
        <v>41</v>
      </c>
      <c r="E25" s="1" t="n">
        <v>43</v>
      </c>
      <c r="F25" s="11" t="n">
        <f aca="false">AVERAGE(B25:E25)</f>
        <v>39.25</v>
      </c>
      <c r="G25" s="11" t="n">
        <f aca="false">STDEV(B25:E25)/SQRT(4)</f>
        <v>3.83785964655648</v>
      </c>
      <c r="H25" s="7" t="n">
        <f aca="false">F25/$F$23</f>
        <v>0.912790697674419</v>
      </c>
      <c r="I25" s="7" t="n">
        <f aca="false">G25/$F$23</f>
        <v>0.0892525499199183</v>
      </c>
    </row>
    <row r="26" customFormat="false" ht="22.05" hidden="false" customHeight="false" outlineLevel="0" collapsed="false">
      <c r="A26" s="1" t="s">
        <v>17</v>
      </c>
      <c r="B26" s="1" t="n">
        <v>35</v>
      </c>
      <c r="C26" s="1" t="n">
        <v>42</v>
      </c>
      <c r="D26" s="5" t="n">
        <v>41</v>
      </c>
      <c r="E26" s="5" t="n">
        <v>44</v>
      </c>
      <c r="F26" s="11" t="n">
        <f aca="false">AVERAGE(B26:E26)</f>
        <v>40.5</v>
      </c>
      <c r="G26" s="11" t="n">
        <f aca="false">STDEV(B26:E26)/SQRT(4)</f>
        <v>1.93649167310371</v>
      </c>
      <c r="H26" s="7" t="n">
        <f aca="false">F26/$F$23</f>
        <v>0.941860465116279</v>
      </c>
      <c r="I26" s="7" t="n">
        <f aca="false">G26/$F$23</f>
        <v>0.0450346900721793</v>
      </c>
    </row>
    <row r="27" customFormat="false" ht="22.05" hidden="false" customHeight="false" outlineLevel="0" collapsed="false">
      <c r="A27" s="1" t="s">
        <v>18</v>
      </c>
      <c r="B27" s="12" t="s">
        <v>19</v>
      </c>
      <c r="C27" s="1" t="n">
        <v>38</v>
      </c>
      <c r="D27" s="5" t="n">
        <v>42</v>
      </c>
      <c r="E27" s="5" t="n">
        <v>45</v>
      </c>
      <c r="F27" s="11" t="n">
        <f aca="false">AVERAGE(B27:E27)</f>
        <v>41.6666666666667</v>
      </c>
      <c r="G27" s="11" t="n">
        <f aca="false">STDEV(B27:E27)/SQRT(4)</f>
        <v>1.75594229214212</v>
      </c>
      <c r="H27" s="7" t="n">
        <f aca="false">F27/$F$23</f>
        <v>0.968992248062015</v>
      </c>
      <c r="I27" s="7" t="n">
        <f aca="false">G27/$F$23</f>
        <v>0.0408358672591191</v>
      </c>
    </row>
    <row r="28" customFormat="false" ht="22.05" hidden="false" customHeight="false" outlineLevel="0" collapsed="false">
      <c r="A28" s="1" t="s">
        <v>20</v>
      </c>
      <c r="B28" s="12" t="s">
        <v>19</v>
      </c>
      <c r="C28" s="1" t="n">
        <v>39</v>
      </c>
      <c r="D28" s="5" t="n">
        <v>34</v>
      </c>
      <c r="E28" s="5" t="n">
        <v>33</v>
      </c>
      <c r="F28" s="11" t="n">
        <f aca="false">AVERAGE(B28:E28)</f>
        <v>35.3333333333333</v>
      </c>
      <c r="G28" s="11" t="n">
        <f aca="false">STDEV(B28:E28)/SQRT(4)</f>
        <v>1.60727512683216</v>
      </c>
      <c r="H28" s="7" t="n">
        <f aca="false">F28/$F$23</f>
        <v>0.821705426356589</v>
      </c>
      <c r="I28" s="7" t="n">
        <f aca="false">G28/$F$23</f>
        <v>0.0373784913216781</v>
      </c>
    </row>
    <row r="29" customFormat="false" ht="22.05" hidden="false" customHeight="false" outlineLevel="0" collapsed="false">
      <c r="B29" s="5"/>
    </row>
    <row r="31" customFormat="false" ht="22.05" hidden="false" customHeight="false" outlineLevel="0" collapsed="false">
      <c r="A31" s="2" t="s">
        <v>23</v>
      </c>
      <c r="B31" s="2"/>
      <c r="C31" s="2"/>
      <c r="D31" s="2"/>
      <c r="E31" s="2"/>
      <c r="F31" s="2"/>
    </row>
    <row r="32" customFormat="false" ht="22.05" hidden="false" customHeight="false" outlineLevel="0" collapsed="false"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10" t="s">
        <v>10</v>
      </c>
      <c r="H32" s="10" t="s">
        <v>11</v>
      </c>
      <c r="I32" s="4" t="s">
        <v>12</v>
      </c>
      <c r="J32" s="4" t="s">
        <v>13</v>
      </c>
    </row>
    <row r="33" customFormat="false" ht="22.05" hidden="false" customHeight="false" outlineLevel="0" collapsed="false">
      <c r="A33" s="1" t="s">
        <v>14</v>
      </c>
      <c r="B33" s="1" t="n">
        <v>31</v>
      </c>
      <c r="C33" s="5" t="n">
        <v>30</v>
      </c>
      <c r="D33" s="5" t="n">
        <v>27</v>
      </c>
      <c r="E33" s="1" t="n">
        <v>28</v>
      </c>
      <c r="F33" s="1" t="n">
        <v>34</v>
      </c>
      <c r="G33" s="11" t="n">
        <f aca="false">AVERAGE(B33:F33)</f>
        <v>30</v>
      </c>
      <c r="H33" s="11" t="n">
        <f aca="false">STDEV(B33:F33)/SQRT(5)</f>
        <v>1.22474487139159</v>
      </c>
      <c r="I33" s="7" t="n">
        <f aca="false">G33/$G$33</f>
        <v>1</v>
      </c>
      <c r="J33" s="7" t="n">
        <f aca="false">H33/$G$33</f>
        <v>0.0408248290463863</v>
      </c>
    </row>
    <row r="34" customFormat="false" ht="22.05" hidden="false" customHeight="false" outlineLevel="0" collapsed="false">
      <c r="A34" s="1" t="s">
        <v>15</v>
      </c>
      <c r="B34" s="1" t="n">
        <v>32</v>
      </c>
      <c r="C34" s="5" t="n">
        <v>32</v>
      </c>
      <c r="D34" s="5" t="n">
        <v>24</v>
      </c>
      <c r="E34" s="1" t="n">
        <v>31</v>
      </c>
      <c r="F34" s="1" t="n">
        <v>29</v>
      </c>
      <c r="G34" s="11" t="n">
        <f aca="false">AVERAGE(B34:F34)</f>
        <v>29.6</v>
      </c>
      <c r="H34" s="11" t="n">
        <f aca="false">STDEV(B34:F34)/SQRT(5)</f>
        <v>1.50332963783729</v>
      </c>
      <c r="I34" s="7" t="n">
        <f aca="false">G34/$G$33</f>
        <v>0.986666666666667</v>
      </c>
      <c r="J34" s="7" t="n">
        <f aca="false">H34/$G$33</f>
        <v>0.0501109879279097</v>
      </c>
    </row>
    <row r="35" customFormat="false" ht="22.05" hidden="false" customHeight="false" outlineLevel="0" collapsed="false">
      <c r="A35" s="1" t="s">
        <v>16</v>
      </c>
      <c r="B35" s="1" t="n">
        <v>28</v>
      </c>
      <c r="C35" s="5" t="n">
        <v>36</v>
      </c>
      <c r="D35" s="5" t="n">
        <v>24</v>
      </c>
      <c r="E35" s="1" t="n">
        <v>32</v>
      </c>
      <c r="F35" s="1" t="n">
        <v>36</v>
      </c>
      <c r="G35" s="11" t="n">
        <f aca="false">AVERAGE(B35:F35)</f>
        <v>31.2</v>
      </c>
      <c r="H35" s="11" t="n">
        <f aca="false">STDEV(B35:F35)/SQRT(5)</f>
        <v>2.33238075793812</v>
      </c>
      <c r="I35" s="7" t="n">
        <f aca="false">G35/$G$33</f>
        <v>1.04</v>
      </c>
      <c r="J35" s="7" t="n">
        <f aca="false">H35/$G$33</f>
        <v>0.077746025264604</v>
      </c>
    </row>
    <row r="36" customFormat="false" ht="22.05" hidden="false" customHeight="false" outlineLevel="0" collapsed="false">
      <c r="A36" s="1" t="s">
        <v>17</v>
      </c>
      <c r="B36" s="1" t="n">
        <v>30</v>
      </c>
      <c r="C36" s="5" t="n">
        <v>29</v>
      </c>
      <c r="D36" s="5" t="n">
        <v>22</v>
      </c>
      <c r="E36" s="1" t="n">
        <v>31</v>
      </c>
      <c r="F36" s="1" t="n">
        <v>26</v>
      </c>
      <c r="G36" s="11" t="n">
        <f aca="false">AVERAGE(B36:F36)</f>
        <v>27.6</v>
      </c>
      <c r="H36" s="11" t="n">
        <f aca="false">STDEV(B36:F36)/SQRT(5)</f>
        <v>1.63095064303001</v>
      </c>
      <c r="I36" s="7" t="n">
        <f aca="false">G36/$G$33</f>
        <v>0.92</v>
      </c>
      <c r="J36" s="7" t="n">
        <f aca="false">H36/$G$33</f>
        <v>0.0543650214343336</v>
      </c>
    </row>
    <row r="37" customFormat="false" ht="22.05" hidden="false" customHeight="false" outlineLevel="0" collapsed="false">
      <c r="A37" s="1" t="s">
        <v>18</v>
      </c>
      <c r="B37" s="1" t="n">
        <v>28</v>
      </c>
      <c r="C37" s="5" t="n">
        <v>33</v>
      </c>
      <c r="D37" s="5" t="n">
        <v>29</v>
      </c>
      <c r="E37" s="1" t="n">
        <v>31</v>
      </c>
      <c r="F37" s="1" t="n">
        <v>30</v>
      </c>
      <c r="G37" s="11" t="n">
        <f aca="false">AVERAGE(B37:F37)</f>
        <v>30.2</v>
      </c>
      <c r="H37" s="11" t="n">
        <f aca="false">STDEV(B37:F37)/SQRT(5)</f>
        <v>0.860232526704263</v>
      </c>
      <c r="I37" s="7" t="n">
        <f aca="false">G37/$G$33</f>
        <v>1.00666666666667</v>
      </c>
      <c r="J37" s="7" t="n">
        <f aca="false">H37/$G$33</f>
        <v>0.0286744175568088</v>
      </c>
    </row>
    <row r="38" customFormat="false" ht="22.05" hidden="false" customHeight="false" outlineLevel="0" collapsed="false">
      <c r="A38" s="1" t="s">
        <v>20</v>
      </c>
      <c r="B38" s="8" t="s">
        <v>19</v>
      </c>
      <c r="C38" s="1" t="n">
        <v>32</v>
      </c>
      <c r="D38" s="1" t="n">
        <v>30</v>
      </c>
      <c r="E38" s="1" t="n">
        <v>31</v>
      </c>
      <c r="F38" s="1" t="n">
        <v>33</v>
      </c>
      <c r="G38" s="11" t="n">
        <f aca="false">AVERAGE(B38:F38)</f>
        <v>31.5</v>
      </c>
      <c r="H38" s="11" t="n">
        <f aca="false">STDEV(B38:F38)/SQRT(5)</f>
        <v>0.577350269189626</v>
      </c>
      <c r="I38" s="7" t="n">
        <f aca="false">G38/$G$33</f>
        <v>1.05</v>
      </c>
      <c r="J38" s="7" t="n">
        <f aca="false">H38/$G$33</f>
        <v>0.0192450089729875</v>
      </c>
    </row>
  </sheetData>
  <mergeCells count="4">
    <mergeCell ref="A1:J1"/>
    <mergeCell ref="A12:D12"/>
    <mergeCell ref="A21:F21"/>
    <mergeCell ref="A31:F3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6"/>
  <sheetViews>
    <sheetView showFormulas="false" showGridLines="true" showRowColHeaders="true" showZeros="true" rightToLeft="false" tabSelected="false" showOutlineSymbols="true" defaultGridColor="true" view="normal" topLeftCell="K1" colorId="64" zoomScale="90" zoomScaleNormal="90" zoomScalePageLayoutView="100" workbookViewId="0">
      <selection pane="topLeft" activeCell="L3" activeCellId="0" sqref="L3"/>
    </sheetView>
  </sheetViews>
  <sheetFormatPr defaultColWidth="11.53515625" defaultRowHeight="22.05" customHeight="true" zeroHeight="false" outlineLevelRow="0" outlineLevelCol="0"/>
  <cols>
    <col collapsed="false" customWidth="true" hidden="false" outlineLevel="0" max="1" min="1" style="1" width="27.45"/>
    <col collapsed="false" customWidth="true" hidden="false" outlineLevel="0" max="6" min="2" style="1" width="14.15"/>
    <col collapsed="false" customWidth="true" hidden="false" outlineLevel="0" max="7" min="7" style="1" width="34.1"/>
    <col collapsed="false" customWidth="true" hidden="false" outlineLevel="0" max="8" min="8" style="1" width="29.31"/>
    <col collapsed="false" customWidth="true" hidden="false" outlineLevel="0" max="9" min="9" style="1" width="34.1"/>
    <col collapsed="false" customWidth="true" hidden="false" outlineLevel="0" max="10" min="10" style="1" width="29.31"/>
    <col collapsed="false" customWidth="true" hidden="false" outlineLevel="0" max="16" min="11" style="1" width="16.01"/>
    <col collapsed="false" customWidth="true" hidden="false" outlineLevel="0" max="17" min="17" style="1" width="15.61"/>
    <col collapsed="false" customWidth="true" hidden="false" outlineLevel="0" max="18" min="18" style="1" width="14.15"/>
    <col collapsed="false" customWidth="true" hidden="false" outlineLevel="0" max="19" min="19" style="1" width="14.68"/>
    <col collapsed="false" customWidth="true" hidden="false" outlineLevel="0" max="20" min="20" style="1" width="34.1"/>
    <col collapsed="false" customWidth="true" hidden="false" outlineLevel="0" max="21" min="21" style="1" width="29.31"/>
    <col collapsed="false" customWidth="false" hidden="false" outlineLevel="0" max="16384" min="22" style="1" width="11.53"/>
  </cols>
  <sheetData>
    <row r="1" customFormat="false" ht="22.05" hidden="false" customHeight="false" outlineLevel="0" collapsed="false">
      <c r="A1" s="2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2.05" hidden="false" customHeight="false" outlineLevel="0" collapsed="false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5" t="s">
        <v>30</v>
      </c>
      <c r="Q2" s="5" t="s">
        <v>31</v>
      </c>
      <c r="R2" s="10" t="s">
        <v>10</v>
      </c>
      <c r="S2" s="10" t="s">
        <v>11</v>
      </c>
      <c r="T2" s="4" t="s">
        <v>12</v>
      </c>
      <c r="U2" s="4" t="s">
        <v>13</v>
      </c>
    </row>
    <row r="3" customFormat="false" ht="22.05" hidden="false" customHeight="false" outlineLevel="0" collapsed="false">
      <c r="A3" s="1" t="s">
        <v>14</v>
      </c>
      <c r="B3" s="1" t="n">
        <v>47</v>
      </c>
      <c r="C3" s="1" t="n">
        <v>35</v>
      </c>
      <c r="D3" s="1" t="n">
        <v>34</v>
      </c>
      <c r="E3" s="1" t="n">
        <v>31</v>
      </c>
      <c r="F3" s="1" t="n">
        <v>43</v>
      </c>
      <c r="G3" s="5" t="n">
        <v>33</v>
      </c>
      <c r="H3" s="5" t="n">
        <v>36</v>
      </c>
      <c r="I3" s="5" t="n">
        <v>39</v>
      </c>
      <c r="J3" s="5" t="n">
        <v>45</v>
      </c>
      <c r="K3" s="5" t="n">
        <v>43</v>
      </c>
      <c r="L3" s="5" t="n">
        <v>46</v>
      </c>
      <c r="M3" s="5" t="n">
        <v>45</v>
      </c>
      <c r="N3" s="5" t="n">
        <v>44</v>
      </c>
      <c r="O3" s="5" t="n">
        <v>38</v>
      </c>
      <c r="P3" s="5" t="n">
        <v>42</v>
      </c>
      <c r="Q3" s="5" t="n">
        <v>33</v>
      </c>
      <c r="R3" s="11" t="n">
        <f aca="false">AVERAGE(B3:Q3)</f>
        <v>39.625</v>
      </c>
      <c r="S3" s="11" t="n">
        <f aca="false">STDEV(B3:Q3)/16</f>
        <v>0.335313131018356</v>
      </c>
      <c r="T3" s="7" t="n">
        <f aca="false">R3/$R$3</f>
        <v>1</v>
      </c>
      <c r="U3" s="7" t="n">
        <f aca="false">S3/$R$3</f>
        <v>0.00846216103516356</v>
      </c>
    </row>
    <row r="4" customFormat="false" ht="22.05" hidden="false" customHeight="false" outlineLevel="0" collapsed="false">
      <c r="A4" s="1" t="s">
        <v>15</v>
      </c>
      <c r="B4" s="1" t="n">
        <v>39</v>
      </c>
      <c r="C4" s="1" t="n">
        <v>35</v>
      </c>
      <c r="D4" s="1" t="n">
        <v>39</v>
      </c>
      <c r="E4" s="1" t="n">
        <v>32</v>
      </c>
      <c r="F4" s="1" t="n">
        <v>36</v>
      </c>
      <c r="G4" s="5" t="n">
        <v>33</v>
      </c>
      <c r="H4" s="5" t="n">
        <v>37</v>
      </c>
      <c r="I4" s="5" t="n">
        <v>38</v>
      </c>
      <c r="J4" s="5" t="n">
        <v>34</v>
      </c>
      <c r="K4" s="5" t="n">
        <v>41</v>
      </c>
      <c r="L4" s="5" t="n">
        <v>41</v>
      </c>
      <c r="M4" s="5" t="n">
        <v>50</v>
      </c>
      <c r="N4" s="5" t="n">
        <v>46</v>
      </c>
      <c r="O4" s="5" t="n">
        <v>40</v>
      </c>
      <c r="P4" s="5" t="n">
        <v>40</v>
      </c>
      <c r="Q4" s="5" t="n">
        <v>35</v>
      </c>
      <c r="R4" s="11" t="n">
        <f aca="false">AVERAGE(B4:Q4)</f>
        <v>38.5</v>
      </c>
      <c r="S4" s="11" t="n">
        <f aca="false">STDEV(B4:Q4)/16</f>
        <v>0.294037979406289</v>
      </c>
      <c r="T4" s="7" t="n">
        <f aca="false">R4/$R$3</f>
        <v>0.971608832807571</v>
      </c>
      <c r="U4" s="7" t="n">
        <f aca="false">S4/$R$3</f>
        <v>0.00742051683044263</v>
      </c>
    </row>
    <row r="5" customFormat="false" ht="22.05" hidden="false" customHeight="false" outlineLevel="0" collapsed="false">
      <c r="A5" s="1" t="s">
        <v>16</v>
      </c>
      <c r="B5" s="1" t="n">
        <v>37</v>
      </c>
      <c r="C5" s="1" t="n">
        <v>40</v>
      </c>
      <c r="D5" s="1" t="n">
        <v>41</v>
      </c>
      <c r="E5" s="1" t="n">
        <v>33</v>
      </c>
      <c r="F5" s="1" t="n">
        <v>43</v>
      </c>
      <c r="G5" s="5" t="n">
        <v>35</v>
      </c>
      <c r="H5" s="5" t="n">
        <v>34</v>
      </c>
      <c r="I5" s="5" t="n">
        <v>33</v>
      </c>
      <c r="J5" s="5" t="n">
        <v>39</v>
      </c>
      <c r="K5" s="5" t="n">
        <v>40</v>
      </c>
      <c r="L5" s="5" t="n">
        <v>47</v>
      </c>
      <c r="M5" s="5" t="n">
        <v>54</v>
      </c>
      <c r="N5" s="5" t="n">
        <v>43</v>
      </c>
      <c r="O5" s="5" t="n">
        <v>36</v>
      </c>
      <c r="P5" s="5" t="n">
        <v>41</v>
      </c>
      <c r="Q5" s="5" t="n">
        <v>43</v>
      </c>
      <c r="R5" s="11" t="n">
        <f aca="false">AVERAGE(B5:Q5)</f>
        <v>39.9375</v>
      </c>
      <c r="S5" s="11" t="n">
        <f aca="false">STDEV(B5:Q5)/16</f>
        <v>0.345709377886012</v>
      </c>
      <c r="T5" s="7" t="n">
        <f aca="false">R5/$R$3</f>
        <v>1.00788643533123</v>
      </c>
      <c r="U5" s="7" t="n">
        <f aca="false">S5/$R$3</f>
        <v>0.00872452688671323</v>
      </c>
    </row>
    <row r="6" customFormat="false" ht="22.05" hidden="false" customHeight="false" outlineLevel="0" collapsed="false">
      <c r="A6" s="1" t="s">
        <v>17</v>
      </c>
      <c r="B6" s="1" t="n">
        <v>47</v>
      </c>
      <c r="C6" s="1" t="n">
        <v>51</v>
      </c>
      <c r="D6" s="1" t="n">
        <v>45</v>
      </c>
      <c r="E6" s="1" t="n">
        <v>28</v>
      </c>
      <c r="F6" s="1" t="n">
        <v>39</v>
      </c>
      <c r="G6" s="5" t="n">
        <v>44</v>
      </c>
      <c r="H6" s="5" t="n">
        <v>42</v>
      </c>
      <c r="I6" s="5" t="n">
        <v>37</v>
      </c>
      <c r="J6" s="5" t="n">
        <v>39</v>
      </c>
      <c r="K6" s="5" t="n">
        <v>36</v>
      </c>
      <c r="L6" s="5" t="n">
        <v>39</v>
      </c>
      <c r="M6" s="5" t="n">
        <v>53</v>
      </c>
      <c r="N6" s="5" t="n">
        <v>41</v>
      </c>
      <c r="O6" s="5" t="n">
        <v>39</v>
      </c>
      <c r="P6" s="5" t="n">
        <v>51</v>
      </c>
      <c r="Q6" s="5" t="n">
        <v>47</v>
      </c>
      <c r="R6" s="11" t="n">
        <f aca="false">AVERAGE(B6:Q6)</f>
        <v>42.375</v>
      </c>
      <c r="S6" s="11" t="n">
        <f aca="false">STDEV(B6:Q6)/16</f>
        <v>0.407530034680472</v>
      </c>
      <c r="T6" s="7" t="n">
        <f aca="false">R6/$R$3</f>
        <v>1.06940063091483</v>
      </c>
      <c r="U6" s="7" t="n">
        <f aca="false">S6/$R$3</f>
        <v>0.010284669644933</v>
      </c>
    </row>
    <row r="7" customFormat="false" ht="22.05" hidden="false" customHeight="false" outlineLevel="0" collapsed="false">
      <c r="A7" s="1" t="s">
        <v>18</v>
      </c>
      <c r="B7" s="1" t="n">
        <v>57</v>
      </c>
      <c r="C7" s="1" t="n">
        <v>34</v>
      </c>
      <c r="D7" s="1" t="n">
        <v>59</v>
      </c>
      <c r="E7" s="8" t="s">
        <v>19</v>
      </c>
      <c r="F7" s="1" t="n">
        <v>45</v>
      </c>
      <c r="G7" s="5" t="n">
        <v>33</v>
      </c>
      <c r="H7" s="5" t="n">
        <v>33</v>
      </c>
      <c r="I7" s="5" t="n">
        <v>36</v>
      </c>
      <c r="J7" s="5" t="n">
        <v>35</v>
      </c>
      <c r="K7" s="5" t="n">
        <v>43</v>
      </c>
      <c r="L7" s="5" t="n">
        <v>38</v>
      </c>
      <c r="M7" s="5" t="n">
        <v>52</v>
      </c>
      <c r="N7" s="5" t="n">
        <v>48</v>
      </c>
      <c r="O7" s="5" t="n">
        <v>42</v>
      </c>
      <c r="P7" s="5" t="n">
        <v>52</v>
      </c>
      <c r="Q7" s="5" t="n">
        <v>50</v>
      </c>
      <c r="R7" s="11" t="n">
        <f aca="false">AVERAGE(B7:Q7)</f>
        <v>43.8</v>
      </c>
      <c r="S7" s="11" t="n">
        <f aca="false">STDEV(B7:Q7)/16</f>
        <v>0.554607325694753</v>
      </c>
      <c r="T7" s="7" t="n">
        <f aca="false">R7/$R$3</f>
        <v>1.10536277602524</v>
      </c>
      <c r="U7" s="7" t="n">
        <f aca="false">S7/$R$3</f>
        <v>0.0139963993866184</v>
      </c>
    </row>
    <row r="8" customFormat="false" ht="22.05" hidden="false" customHeight="false" outlineLevel="0" collapsed="false">
      <c r="A8" s="1" t="s">
        <v>20</v>
      </c>
      <c r="B8" s="5" t="n">
        <v>47</v>
      </c>
      <c r="C8" s="8" t="s">
        <v>19</v>
      </c>
      <c r="D8" s="5" t="n">
        <v>47</v>
      </c>
      <c r="E8" s="8" t="s">
        <v>19</v>
      </c>
      <c r="F8" s="5" t="n">
        <v>36</v>
      </c>
      <c r="G8" s="8" t="s">
        <v>19</v>
      </c>
      <c r="H8" s="8" t="s">
        <v>19</v>
      </c>
      <c r="I8" s="5" t="n">
        <v>49</v>
      </c>
      <c r="J8" s="5" t="n">
        <v>42</v>
      </c>
      <c r="K8" s="8" t="s">
        <v>19</v>
      </c>
      <c r="L8" s="5" t="n">
        <v>47</v>
      </c>
      <c r="M8" s="5" t="n">
        <v>45</v>
      </c>
      <c r="N8" s="8" t="s">
        <v>19</v>
      </c>
      <c r="O8" s="8" t="s">
        <v>19</v>
      </c>
      <c r="P8" s="5" t="n">
        <v>58</v>
      </c>
      <c r="Q8" s="5" t="n">
        <v>59</v>
      </c>
      <c r="R8" s="11" t="n">
        <f aca="false">AVERAGE(B8:Q8)</f>
        <v>47.7777777777778</v>
      </c>
      <c r="S8" s="11" t="n">
        <f aca="false">STDEV(B8:Q8)/16</f>
        <v>0.449367804377562</v>
      </c>
      <c r="T8" s="7" t="n">
        <f aca="false">R8/$R$3</f>
        <v>1.20574833508587</v>
      </c>
      <c r="U8" s="7" t="n">
        <f aca="false">S8/$R$3</f>
        <v>0.0113405124133139</v>
      </c>
    </row>
    <row r="9" customFormat="false" ht="22.05" hidden="false" customHeight="false" outlineLevel="0" collapsed="false">
      <c r="I9" s="5"/>
      <c r="J9" s="5"/>
      <c r="L9" s="5"/>
      <c r="M9" s="5"/>
      <c r="N9" s="5"/>
      <c r="O9" s="5"/>
      <c r="P9" s="5"/>
      <c r="Q9" s="5"/>
    </row>
    <row r="10" customFormat="false" ht="22.05" hidden="false" customHeight="false" outlineLevel="0" collapsed="false">
      <c r="I10" s="5"/>
      <c r="J10" s="5"/>
    </row>
    <row r="11" customFormat="false" ht="22.05" hidden="false" customHeight="false" outlineLevel="0" collapsed="false">
      <c r="A11" s="2" t="s">
        <v>21</v>
      </c>
      <c r="B11" s="2"/>
      <c r="C11" s="2"/>
      <c r="D11" s="2"/>
    </row>
    <row r="12" customFormat="false" ht="22.05" hidden="false" customHeight="false" outlineLevel="0" collapsed="false">
      <c r="B12" s="1" t="s">
        <v>1</v>
      </c>
      <c r="C12" s="1" t="s">
        <v>2</v>
      </c>
      <c r="D12" s="1" t="s">
        <v>3</v>
      </c>
      <c r="E12" s="10" t="s">
        <v>10</v>
      </c>
      <c r="F12" s="10" t="s">
        <v>11</v>
      </c>
      <c r="G12" s="4" t="s">
        <v>12</v>
      </c>
      <c r="H12" s="4" t="s">
        <v>13</v>
      </c>
    </row>
    <row r="13" customFormat="false" ht="22.05" hidden="false" customHeight="false" outlineLevel="0" collapsed="false">
      <c r="A13" s="1" t="s">
        <v>14</v>
      </c>
      <c r="B13" s="1" t="n">
        <v>38</v>
      </c>
      <c r="C13" s="5" t="n">
        <v>25</v>
      </c>
      <c r="D13" s="1" t="n">
        <v>35</v>
      </c>
      <c r="E13" s="1" t="n">
        <f aca="false">AVERAGE(B13:D13)</f>
        <v>32.6666666666667</v>
      </c>
      <c r="F13" s="11" t="n">
        <f aca="false">STDEV(B13:D13)/SQRT(3)</f>
        <v>3.92994204085053</v>
      </c>
      <c r="G13" s="7" t="n">
        <f aca="false">E13/$E$13</f>
        <v>1</v>
      </c>
      <c r="H13" s="7" t="n">
        <f aca="false">F13/$E$13</f>
        <v>0.120304348189302</v>
      </c>
    </row>
    <row r="14" customFormat="false" ht="22.05" hidden="false" customHeight="false" outlineLevel="0" collapsed="false">
      <c r="A14" s="1" t="s">
        <v>15</v>
      </c>
      <c r="B14" s="1" t="n">
        <v>36</v>
      </c>
      <c r="C14" s="5" t="n">
        <v>24</v>
      </c>
      <c r="D14" s="1" t="n">
        <v>32</v>
      </c>
      <c r="E14" s="1" t="n">
        <f aca="false">AVERAGE(B14:D14)</f>
        <v>30.6666666666667</v>
      </c>
      <c r="F14" s="11" t="n">
        <f aca="false">STDEV(B14:D14)/SQRT(3)</f>
        <v>3.52766841475279</v>
      </c>
      <c r="G14" s="7" t="n">
        <f aca="false">E14/$E$13</f>
        <v>0.938775510204082</v>
      </c>
      <c r="H14" s="7" t="n">
        <f aca="false">F14/$E$13</f>
        <v>0.107989849431208</v>
      </c>
    </row>
    <row r="15" customFormat="false" ht="22.05" hidden="false" customHeight="false" outlineLevel="0" collapsed="false">
      <c r="A15" s="1" t="s">
        <v>16</v>
      </c>
      <c r="B15" s="1" t="n">
        <v>32</v>
      </c>
      <c r="C15" s="5" t="n">
        <v>23</v>
      </c>
      <c r="D15" s="1" t="n">
        <v>42</v>
      </c>
      <c r="E15" s="1" t="n">
        <f aca="false">AVERAGE(B15:D15)</f>
        <v>32.3333333333333</v>
      </c>
      <c r="F15" s="11" t="n">
        <f aca="false">STDEV(B15:D15)/SQRT(3)</f>
        <v>5.48735921105144</v>
      </c>
      <c r="G15" s="7" t="n">
        <f aca="false">E15/$E$13</f>
        <v>0.989795918367347</v>
      </c>
      <c r="H15" s="7" t="n">
        <f aca="false">F15/$E$13</f>
        <v>0.167980384011779</v>
      </c>
    </row>
    <row r="16" customFormat="false" ht="22.05" hidden="false" customHeight="false" outlineLevel="0" collapsed="false">
      <c r="A16" s="1" t="s">
        <v>17</v>
      </c>
      <c r="B16" s="1" t="n">
        <v>43</v>
      </c>
      <c r="C16" s="5" t="n">
        <v>26</v>
      </c>
      <c r="D16" s="1" t="n">
        <v>32</v>
      </c>
      <c r="E16" s="1" t="n">
        <f aca="false">AVERAGE(B16:D16)</f>
        <v>33.6666666666667</v>
      </c>
      <c r="F16" s="11" t="n">
        <f aca="false">STDEV(B16:D16)/SQRT(3)</f>
        <v>4.97772817435603</v>
      </c>
      <c r="G16" s="7" t="n">
        <f aca="false">E16/$E$13</f>
        <v>1.03061224489796</v>
      </c>
      <c r="H16" s="7" t="n">
        <f aca="false">F16/$E$13</f>
        <v>0.152379433908858</v>
      </c>
      <c r="U16" s="1" t="s">
        <v>32</v>
      </c>
    </row>
    <row r="17" customFormat="false" ht="22.05" hidden="false" customHeight="false" outlineLevel="0" collapsed="false">
      <c r="A17" s="1" t="s">
        <v>18</v>
      </c>
      <c r="B17" s="1" t="n">
        <v>35</v>
      </c>
      <c r="C17" s="5" t="n">
        <v>26</v>
      </c>
      <c r="D17" s="1" t="n">
        <v>36</v>
      </c>
      <c r="E17" s="1" t="n">
        <f aca="false">AVERAGE(B17:D17)</f>
        <v>32.3333333333333</v>
      </c>
      <c r="F17" s="11" t="n">
        <f aca="false">STDEV(B17:D17)/SQRT(3)</f>
        <v>3.17979733805649</v>
      </c>
      <c r="G17" s="7" t="n">
        <f aca="false">E17/$E$13</f>
        <v>0.989795918367347</v>
      </c>
      <c r="H17" s="7" t="n">
        <f aca="false">F17/$E$13</f>
        <v>0.0973407348384639</v>
      </c>
    </row>
    <row r="18" customFormat="false" ht="22.05" hidden="false" customHeight="false" outlineLevel="0" collapsed="false">
      <c r="A18" s="1" t="s">
        <v>20</v>
      </c>
      <c r="B18" s="1" t="n">
        <v>36</v>
      </c>
      <c r="C18" s="8" t="s">
        <v>19</v>
      </c>
      <c r="D18" s="1" t="n">
        <v>33</v>
      </c>
      <c r="E18" s="1" t="n">
        <f aca="false">AVERAGE(B18:D18)</f>
        <v>34.5</v>
      </c>
      <c r="F18" s="11" t="n">
        <f aca="false">STDEV(B18:D18)/SQRT(3)</f>
        <v>1.22474487139159</v>
      </c>
      <c r="G18" s="7" t="n">
        <f aca="false">E18/$E$13</f>
        <v>1.05612244897959</v>
      </c>
      <c r="H18" s="7" t="n">
        <f aca="false">F18/$E$13</f>
        <v>0.0374921899405589</v>
      </c>
    </row>
    <row r="20" customFormat="false" ht="22.05" hidden="false" customHeight="false" outlineLevel="0" collapsed="false">
      <c r="A20" s="2" t="s">
        <v>33</v>
      </c>
      <c r="B20" s="2"/>
      <c r="C20" s="2"/>
      <c r="D20" s="2"/>
      <c r="E20" s="2"/>
      <c r="F20" s="2"/>
    </row>
    <row r="21" customFormat="false" ht="22.05" hidden="false" customHeight="false" outlineLevel="0" collapsed="false"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0" t="s">
        <v>10</v>
      </c>
      <c r="H21" s="10" t="s">
        <v>11</v>
      </c>
      <c r="I21" s="4" t="s">
        <v>12</v>
      </c>
      <c r="J21" s="4" t="s">
        <v>13</v>
      </c>
    </row>
    <row r="22" customFormat="false" ht="22.05" hidden="false" customHeight="false" outlineLevel="0" collapsed="false">
      <c r="A22" s="1" t="s">
        <v>14</v>
      </c>
      <c r="B22" s="1" t="n">
        <v>32</v>
      </c>
      <c r="C22" s="1" t="n">
        <v>39</v>
      </c>
      <c r="D22" s="1" t="n">
        <v>27</v>
      </c>
      <c r="E22" s="1" t="n">
        <v>34</v>
      </c>
      <c r="F22" s="1" t="n">
        <v>41</v>
      </c>
      <c r="G22" s="1" t="n">
        <f aca="false">AVERAGE(B22:F22)</f>
        <v>34.6</v>
      </c>
      <c r="H22" s="11" t="n">
        <f aca="false">STDEV(B22:F22)/SQRT(5)</f>
        <v>2.50199920063936</v>
      </c>
      <c r="I22" s="7" t="n">
        <f aca="false">G22/$G$22</f>
        <v>1</v>
      </c>
      <c r="J22" s="7" t="n">
        <f aca="false">H22/$G$22</f>
        <v>0.0723121156254151</v>
      </c>
    </row>
    <row r="23" customFormat="false" ht="22.05" hidden="false" customHeight="false" outlineLevel="0" collapsed="false">
      <c r="A23" s="1" t="s">
        <v>15</v>
      </c>
      <c r="B23" s="1" t="n">
        <v>40</v>
      </c>
      <c r="C23" s="1" t="n">
        <v>28</v>
      </c>
      <c r="D23" s="1" t="n">
        <v>28</v>
      </c>
      <c r="E23" s="1" t="n">
        <v>46</v>
      </c>
      <c r="F23" s="1" t="n">
        <v>39</v>
      </c>
      <c r="G23" s="1" t="n">
        <f aca="false">AVERAGE(B23:F23)</f>
        <v>36.2</v>
      </c>
      <c r="H23" s="11" t="n">
        <f aca="false">STDEV(B23:F23)/SQRT(5)</f>
        <v>3.55527776692624</v>
      </c>
      <c r="I23" s="7" t="n">
        <f aca="false">G23/$G$22</f>
        <v>1.04624277456647</v>
      </c>
      <c r="J23" s="7" t="n">
        <f aca="false">H23/$G$22</f>
        <v>0.102753692685729</v>
      </c>
    </row>
    <row r="24" customFormat="false" ht="22.05" hidden="false" customHeight="false" outlineLevel="0" collapsed="false">
      <c r="A24" s="1" t="s">
        <v>16</v>
      </c>
      <c r="B24" s="1" t="n">
        <v>32</v>
      </c>
      <c r="C24" s="1" t="n">
        <v>38</v>
      </c>
      <c r="D24" s="1" t="n">
        <v>26</v>
      </c>
      <c r="E24" s="1" t="n">
        <v>47</v>
      </c>
      <c r="F24" s="1" t="n">
        <v>42</v>
      </c>
      <c r="G24" s="1" t="n">
        <f aca="false">AVERAGE(B24:F24)</f>
        <v>37</v>
      </c>
      <c r="H24" s="11" t="n">
        <f aca="false">STDEV(B24:F24)/SQRT(5)</f>
        <v>3.68781778291715</v>
      </c>
      <c r="I24" s="7" t="n">
        <f aca="false">G24/$G$22</f>
        <v>1.06936416184971</v>
      </c>
      <c r="J24" s="7" t="n">
        <f aca="false">H24/$G$22</f>
        <v>0.106584328986045</v>
      </c>
    </row>
    <row r="25" customFormat="false" ht="22.05" hidden="false" customHeight="false" outlineLevel="0" collapsed="false">
      <c r="A25" s="1" t="s">
        <v>17</v>
      </c>
      <c r="B25" s="1" t="n">
        <v>45</v>
      </c>
      <c r="C25" s="1" t="n">
        <v>43</v>
      </c>
      <c r="D25" s="1" t="n">
        <v>33</v>
      </c>
      <c r="E25" s="1" t="n">
        <v>37</v>
      </c>
      <c r="F25" s="1" t="n">
        <v>29</v>
      </c>
      <c r="G25" s="1" t="n">
        <f aca="false">AVERAGE(B25:F25)</f>
        <v>37.4</v>
      </c>
      <c r="H25" s="11" t="n">
        <f aca="false">STDEV(B25:F25)/SQRT(5)</f>
        <v>2.99332590941915</v>
      </c>
      <c r="I25" s="7" t="n">
        <f aca="false">G25/$G$22</f>
        <v>1.08092485549133</v>
      </c>
      <c r="J25" s="7" t="n">
        <f aca="false">H25/$G$22</f>
        <v>0.0865123095207848</v>
      </c>
    </row>
    <row r="26" customFormat="false" ht="22.05" hidden="false" customHeight="false" outlineLevel="0" collapsed="false">
      <c r="A26" s="1" t="s">
        <v>18</v>
      </c>
      <c r="B26" s="1" t="n">
        <v>37</v>
      </c>
      <c r="C26" s="8" t="s">
        <v>19</v>
      </c>
      <c r="D26" s="1" t="n">
        <v>35</v>
      </c>
      <c r="E26" s="1" t="n">
        <v>31</v>
      </c>
      <c r="F26" s="1" t="n">
        <v>38</v>
      </c>
      <c r="G26" s="1" t="n">
        <f aca="false">AVERAGE(B26:F26)</f>
        <v>35.25</v>
      </c>
      <c r="H26" s="11" t="n">
        <f aca="false">STDEV(B26:F26)/SQRT(5)</f>
        <v>1.38443731048635</v>
      </c>
      <c r="I26" s="7" t="n">
        <f aca="false">G26/$G$22</f>
        <v>1.01878612716763</v>
      </c>
      <c r="J26" s="7" t="n">
        <f aca="false">H26/$G$22</f>
        <v>0.0400126390313973</v>
      </c>
    </row>
    <row r="27" customFormat="false" ht="22.05" hidden="false" customHeight="false" outlineLevel="0" collapsed="false">
      <c r="A27" s="1" t="s">
        <v>20</v>
      </c>
      <c r="B27" s="1" t="n">
        <v>32</v>
      </c>
      <c r="C27" s="8" t="s">
        <v>19</v>
      </c>
      <c r="D27" s="8" t="s">
        <v>19</v>
      </c>
      <c r="E27" s="1" t="n">
        <v>36</v>
      </c>
      <c r="F27" s="8" t="s">
        <v>19</v>
      </c>
      <c r="G27" s="1" t="n">
        <f aca="false">AVERAGE(B27:F27)</f>
        <v>34</v>
      </c>
      <c r="H27" s="11" t="n">
        <f aca="false">STDEV(B27:F27)/SQRT(5)</f>
        <v>1.26491106406735</v>
      </c>
      <c r="I27" s="7" t="n">
        <f aca="false">G27/$G$22</f>
        <v>0.982658959537572</v>
      </c>
      <c r="J27" s="7" t="n">
        <f aca="false">H27/$G$22</f>
        <v>0.0365581232389408</v>
      </c>
    </row>
    <row r="29" customFormat="false" ht="22.05" hidden="false" customHeight="false" outlineLevel="0" collapsed="false">
      <c r="A29" s="2" t="s">
        <v>23</v>
      </c>
      <c r="B29" s="2"/>
      <c r="C29" s="2"/>
      <c r="D29" s="2"/>
      <c r="E29" s="2"/>
      <c r="F29" s="2"/>
    </row>
    <row r="30" customFormat="false" ht="22.05" hidden="false" customHeight="false" outlineLevel="0" collapsed="false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0" t="s">
        <v>10</v>
      </c>
      <c r="H30" s="10" t="s">
        <v>11</v>
      </c>
      <c r="I30" s="4" t="s">
        <v>12</v>
      </c>
      <c r="J30" s="4" t="s">
        <v>13</v>
      </c>
    </row>
    <row r="31" customFormat="false" ht="22.05" hidden="false" customHeight="false" outlineLevel="0" collapsed="false">
      <c r="A31" s="1" t="s">
        <v>14</v>
      </c>
      <c r="B31" s="1" t="n">
        <v>31</v>
      </c>
      <c r="C31" s="5" t="n">
        <v>30</v>
      </c>
      <c r="D31" s="5" t="n">
        <v>27</v>
      </c>
      <c r="E31" s="1" t="n">
        <v>28</v>
      </c>
      <c r="F31" s="1" t="n">
        <v>34</v>
      </c>
      <c r="G31" s="11" t="n">
        <f aca="false">AVERAGE(B31:F31)</f>
        <v>30</v>
      </c>
      <c r="H31" s="11" t="n">
        <f aca="false">STDEV(B31:F31)/SQRT(5)</f>
        <v>1.22474487139159</v>
      </c>
      <c r="I31" s="7" t="n">
        <f aca="false">G31/$G$31</f>
        <v>1</v>
      </c>
      <c r="J31" s="7" t="n">
        <f aca="false">H31/$G$31</f>
        <v>0.0408248290463863</v>
      </c>
    </row>
    <row r="32" customFormat="false" ht="22.05" hidden="false" customHeight="false" outlineLevel="0" collapsed="false">
      <c r="A32" s="1" t="s">
        <v>15</v>
      </c>
      <c r="B32" s="1" t="n">
        <v>32</v>
      </c>
      <c r="C32" s="5" t="n">
        <v>32</v>
      </c>
      <c r="D32" s="5" t="n">
        <v>24</v>
      </c>
      <c r="E32" s="1" t="n">
        <v>31</v>
      </c>
      <c r="F32" s="1" t="n">
        <v>29</v>
      </c>
      <c r="G32" s="11" t="n">
        <f aca="false">AVERAGE(B32:F32)</f>
        <v>29.6</v>
      </c>
      <c r="H32" s="11" t="n">
        <f aca="false">STDEV(B32:F32)/SQRT(5)</f>
        <v>1.50332963783729</v>
      </c>
      <c r="I32" s="7" t="n">
        <f aca="false">G32/$G$31</f>
        <v>0.986666666666667</v>
      </c>
      <c r="J32" s="7" t="n">
        <f aca="false">H32/$G$31</f>
        <v>0.0501109879279097</v>
      </c>
    </row>
    <row r="33" customFormat="false" ht="22.05" hidden="false" customHeight="false" outlineLevel="0" collapsed="false">
      <c r="A33" s="1" t="s">
        <v>16</v>
      </c>
      <c r="B33" s="1" t="n">
        <v>28</v>
      </c>
      <c r="C33" s="5" t="n">
        <v>36</v>
      </c>
      <c r="D33" s="5" t="n">
        <v>24</v>
      </c>
      <c r="E33" s="1" t="n">
        <v>32</v>
      </c>
      <c r="F33" s="1" t="n">
        <v>36</v>
      </c>
      <c r="G33" s="11" t="n">
        <f aca="false">AVERAGE(B33:F33)</f>
        <v>31.2</v>
      </c>
      <c r="H33" s="11" t="n">
        <f aca="false">STDEV(B33:F33)/SQRT(5)</f>
        <v>2.33238075793812</v>
      </c>
      <c r="I33" s="7" t="n">
        <f aca="false">G33/$G$31</f>
        <v>1.04</v>
      </c>
      <c r="J33" s="7" t="n">
        <f aca="false">H33/$G$31</f>
        <v>0.077746025264604</v>
      </c>
    </row>
    <row r="34" customFormat="false" ht="22.05" hidden="false" customHeight="false" outlineLevel="0" collapsed="false">
      <c r="A34" s="1" t="s">
        <v>17</v>
      </c>
      <c r="B34" s="1" t="n">
        <v>30</v>
      </c>
      <c r="C34" s="5" t="n">
        <v>29</v>
      </c>
      <c r="D34" s="5" t="n">
        <v>22</v>
      </c>
      <c r="E34" s="1" t="n">
        <v>31</v>
      </c>
      <c r="F34" s="1" t="n">
        <v>26</v>
      </c>
      <c r="G34" s="11" t="n">
        <f aca="false">AVERAGE(B34:F34)</f>
        <v>27.6</v>
      </c>
      <c r="H34" s="11" t="n">
        <f aca="false">STDEV(B34:F34)/SQRT(5)</f>
        <v>1.63095064303001</v>
      </c>
      <c r="I34" s="7" t="n">
        <f aca="false">G34/$G$31</f>
        <v>0.92</v>
      </c>
      <c r="J34" s="7" t="n">
        <f aca="false">H34/$G$31</f>
        <v>0.0543650214343336</v>
      </c>
    </row>
    <row r="35" customFormat="false" ht="22.05" hidden="false" customHeight="false" outlineLevel="0" collapsed="false">
      <c r="A35" s="1" t="s">
        <v>18</v>
      </c>
      <c r="B35" s="1" t="n">
        <v>28</v>
      </c>
      <c r="C35" s="5" t="n">
        <v>33</v>
      </c>
      <c r="D35" s="5" t="n">
        <v>29</v>
      </c>
      <c r="E35" s="1" t="n">
        <v>31</v>
      </c>
      <c r="F35" s="1" t="n">
        <v>30</v>
      </c>
      <c r="G35" s="11" t="n">
        <f aca="false">AVERAGE(B35:F35)</f>
        <v>30.2</v>
      </c>
      <c r="H35" s="11" t="n">
        <f aca="false">STDEV(B35:F35)/SQRT(5)</f>
        <v>0.860232526704263</v>
      </c>
      <c r="I35" s="7" t="n">
        <f aca="false">G35/$G$31</f>
        <v>1.00666666666667</v>
      </c>
      <c r="J35" s="7" t="n">
        <f aca="false">H35/$G$31</f>
        <v>0.0286744175568088</v>
      </c>
    </row>
    <row r="36" customFormat="false" ht="22.05" hidden="false" customHeight="false" outlineLevel="0" collapsed="false">
      <c r="A36" s="1" t="s">
        <v>20</v>
      </c>
      <c r="B36" s="8" t="s">
        <v>19</v>
      </c>
      <c r="C36" s="1" t="n">
        <v>32</v>
      </c>
      <c r="D36" s="1" t="n">
        <v>30</v>
      </c>
      <c r="E36" s="1" t="n">
        <v>31</v>
      </c>
      <c r="F36" s="1" t="n">
        <v>33</v>
      </c>
      <c r="G36" s="11" t="n">
        <f aca="false">AVERAGE(B36:F36)</f>
        <v>31.5</v>
      </c>
      <c r="H36" s="11" t="n">
        <f aca="false">STDEV(B36:F36)/SQRT(5)</f>
        <v>0.577350269189626</v>
      </c>
      <c r="I36" s="7" t="n">
        <f aca="false">G36/$G$31</f>
        <v>1.05</v>
      </c>
      <c r="J36" s="7" t="n">
        <f aca="false">H36/$G$31</f>
        <v>0.0192450089729875</v>
      </c>
    </row>
  </sheetData>
  <mergeCells count="4">
    <mergeCell ref="A1:P1"/>
    <mergeCell ref="A11:D11"/>
    <mergeCell ref="A20:F20"/>
    <mergeCell ref="A29:F29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J7" activeCellId="0" sqref="J7"/>
    </sheetView>
  </sheetViews>
  <sheetFormatPr defaultColWidth="11.53515625" defaultRowHeight="22.05" customHeight="true" zeroHeight="false" outlineLevelRow="0" outlineLevelCol="0"/>
  <cols>
    <col collapsed="false" customWidth="true" hidden="false" outlineLevel="0" max="1" min="1" style="13" width="27.45"/>
    <col collapsed="false" customWidth="true" hidden="false" outlineLevel="0" max="6" min="2" style="13" width="14.15"/>
    <col collapsed="false" customWidth="true" hidden="false" outlineLevel="0" max="7" min="7" style="13" width="35.24"/>
    <col collapsed="false" customWidth="true" hidden="false" outlineLevel="0" max="8" min="8" style="13" width="34.1"/>
    <col collapsed="false" customWidth="true" hidden="false" outlineLevel="0" max="9" min="9" style="13" width="30.39"/>
    <col collapsed="false" customWidth="true" hidden="false" outlineLevel="0" max="10" min="10" style="13" width="34.93"/>
    <col collapsed="false" customWidth="true" hidden="false" outlineLevel="0" max="11" min="11" style="13" width="29.31"/>
    <col collapsed="false" customWidth="true" hidden="false" outlineLevel="0" max="12" min="12" style="13" width="10.13"/>
    <col collapsed="false" customWidth="true" hidden="false" outlineLevel="0" max="13" min="13" style="13" width="34.1"/>
    <col collapsed="false" customWidth="true" hidden="false" outlineLevel="0" max="14" min="14" style="13" width="29.31"/>
    <col collapsed="false" customWidth="false" hidden="false" outlineLevel="0" max="16384" min="27" style="13" width="11.53"/>
  </cols>
  <sheetData>
    <row r="1" customFormat="false" ht="22.05" hidden="false" customHeight="fals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customFormat="false" ht="22.05" hidden="false" customHeight="false" outlineLevel="0" collapsed="false"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5" t="s">
        <v>9</v>
      </c>
      <c r="K2" s="16" t="s">
        <v>10</v>
      </c>
      <c r="L2" s="16" t="s">
        <v>11</v>
      </c>
      <c r="M2" s="17" t="s">
        <v>12</v>
      </c>
      <c r="N2" s="17" t="s">
        <v>13</v>
      </c>
    </row>
    <row r="3" customFormat="false" ht="22.05" hidden="false" customHeight="false" outlineLevel="0" collapsed="false">
      <c r="A3" s="13" t="s">
        <v>14</v>
      </c>
      <c r="B3" s="13" t="n">
        <v>24</v>
      </c>
      <c r="C3" s="13" t="n">
        <v>41</v>
      </c>
      <c r="D3" s="13" t="n">
        <v>38</v>
      </c>
      <c r="E3" s="13" t="n">
        <v>40</v>
      </c>
      <c r="F3" s="15" t="n">
        <v>39</v>
      </c>
      <c r="G3" s="15" t="n">
        <v>35</v>
      </c>
      <c r="H3" s="15" t="n">
        <v>33</v>
      </c>
      <c r="I3" s="15" t="n">
        <v>34</v>
      </c>
      <c r="J3" s="15" t="n">
        <v>30</v>
      </c>
      <c r="K3" s="18" t="n">
        <f aca="false">AVERAGE(B3:J3)</f>
        <v>34.8888888888889</v>
      </c>
      <c r="L3" s="18" t="n">
        <f aca="false">STDEV(B3:J3)/SQRT(15)</f>
        <v>1.40501746397476</v>
      </c>
      <c r="M3" s="19" t="n">
        <f aca="false">K3/$K$3</f>
        <v>1</v>
      </c>
      <c r="N3" s="19" t="n">
        <f aca="false">L3/$K$3</f>
        <v>0.0402712011967289</v>
      </c>
    </row>
    <row r="4" customFormat="false" ht="22.05" hidden="false" customHeight="false" outlineLevel="0" collapsed="false">
      <c r="A4" s="13" t="s">
        <v>15</v>
      </c>
      <c r="B4" s="13" t="n">
        <v>23</v>
      </c>
      <c r="C4" s="13" t="n">
        <v>44</v>
      </c>
      <c r="D4" s="13" t="n">
        <v>30</v>
      </c>
      <c r="E4" s="13" t="n">
        <v>24</v>
      </c>
      <c r="F4" s="15" t="n">
        <v>36</v>
      </c>
      <c r="G4" s="15" t="n">
        <v>29</v>
      </c>
      <c r="H4" s="15" t="n">
        <v>29</v>
      </c>
      <c r="I4" s="15" t="n">
        <v>32</v>
      </c>
      <c r="J4" s="15" t="n">
        <v>34</v>
      </c>
      <c r="K4" s="18" t="n">
        <f aca="false">AVERAGE(B4:J4)</f>
        <v>31.2222222222222</v>
      </c>
      <c r="L4" s="18" t="n">
        <f aca="false">STDEV(B4:J4)/SQRT(15)</f>
        <v>1.64710745337484</v>
      </c>
      <c r="M4" s="19" t="n">
        <f aca="false">K4/$K$3</f>
        <v>0.894904458598726</v>
      </c>
      <c r="N4" s="19" t="n">
        <f aca="false">L4/$K$3</f>
        <v>0.047210086243228</v>
      </c>
    </row>
    <row r="5" customFormat="false" ht="22.05" hidden="false" customHeight="false" outlineLevel="0" collapsed="false">
      <c r="A5" s="13" t="s">
        <v>16</v>
      </c>
      <c r="B5" s="13" t="n">
        <v>34</v>
      </c>
      <c r="C5" s="13" t="n">
        <v>32</v>
      </c>
      <c r="D5" s="13" t="n">
        <v>24</v>
      </c>
      <c r="E5" s="13" t="n">
        <v>21</v>
      </c>
      <c r="F5" s="15" t="n">
        <v>40</v>
      </c>
      <c r="G5" s="15" t="n">
        <v>28</v>
      </c>
      <c r="H5" s="15" t="n">
        <v>27</v>
      </c>
      <c r="I5" s="15" t="n">
        <v>30</v>
      </c>
      <c r="J5" s="15" t="n">
        <v>24</v>
      </c>
      <c r="K5" s="18" t="n">
        <f aca="false">AVERAGE(B5:J5)</f>
        <v>28.8888888888889</v>
      </c>
      <c r="L5" s="18" t="n">
        <f aca="false">STDEV(B5:J5)/SQRT(15)</f>
        <v>1.51351932288317</v>
      </c>
      <c r="M5" s="19" t="n">
        <f aca="false">K5/$K$3</f>
        <v>0.828025477707006</v>
      </c>
      <c r="N5" s="19" t="n">
        <f aca="false">L5/$K$3</f>
        <v>0.0433811270890082</v>
      </c>
    </row>
    <row r="6" customFormat="false" ht="22.05" hidden="false" customHeight="false" outlineLevel="0" collapsed="false">
      <c r="A6" s="13" t="s">
        <v>17</v>
      </c>
      <c r="B6" s="13" t="n">
        <v>33</v>
      </c>
      <c r="C6" s="13" t="n">
        <v>26</v>
      </c>
      <c r="D6" s="13" t="n">
        <v>22</v>
      </c>
      <c r="E6" s="13" t="n">
        <v>31</v>
      </c>
      <c r="F6" s="15" t="n">
        <v>31</v>
      </c>
      <c r="G6" s="15" t="n">
        <v>20</v>
      </c>
      <c r="H6" s="15" t="n">
        <v>16</v>
      </c>
      <c r="I6" s="15" t="n">
        <v>20</v>
      </c>
      <c r="J6" s="15" t="n">
        <v>24</v>
      </c>
      <c r="K6" s="18" t="n">
        <f aca="false">AVERAGE(B6:J6)</f>
        <v>24.7777777777778</v>
      </c>
      <c r="L6" s="18" t="n">
        <f aca="false">STDEV(B6:J6)/SQRT(15)</f>
        <v>1.52084284624118</v>
      </c>
      <c r="M6" s="19" t="n">
        <f aca="false">K6/$K$3</f>
        <v>0.710191082802548</v>
      </c>
      <c r="N6" s="19" t="n">
        <f aca="false">L6/$K$3</f>
        <v>0.0435910369941739</v>
      </c>
    </row>
    <row r="7" customFormat="false" ht="22.05" hidden="false" customHeight="false" outlineLevel="0" collapsed="false">
      <c r="A7" s="13" t="s">
        <v>18</v>
      </c>
      <c r="B7" s="15" t="n">
        <v>34</v>
      </c>
      <c r="C7" s="15" t="n">
        <v>21</v>
      </c>
      <c r="D7" s="13" t="n">
        <v>17</v>
      </c>
      <c r="E7" s="13" t="n">
        <v>37</v>
      </c>
      <c r="F7" s="15" t="n">
        <v>24</v>
      </c>
      <c r="G7" s="15" t="n">
        <v>20</v>
      </c>
      <c r="H7" s="20" t="s">
        <v>19</v>
      </c>
      <c r="I7" s="15" t="n">
        <v>21</v>
      </c>
      <c r="J7" s="15" t="n">
        <v>28</v>
      </c>
      <c r="K7" s="18" t="n">
        <f aca="false">AVERAGE(B7:J7)</f>
        <v>25.25</v>
      </c>
      <c r="L7" s="18" t="n">
        <f aca="false">STDEV(B7:J7)/SQRT(15)</f>
        <v>1.84003105563854</v>
      </c>
      <c r="M7" s="19" t="n">
        <f aca="false">K7/$K$3</f>
        <v>0.723726114649682</v>
      </c>
      <c r="N7" s="19" t="n">
        <f aca="false">L7/$K$3</f>
        <v>0.0527397436329518</v>
      </c>
    </row>
    <row r="8" customFormat="false" ht="22.05" hidden="false" customHeight="false" outlineLevel="0" collapsed="false">
      <c r="A8" s="13" t="s">
        <v>20</v>
      </c>
      <c r="B8" s="20" t="s">
        <v>19</v>
      </c>
      <c r="C8" s="15" t="n">
        <v>18</v>
      </c>
      <c r="D8" s="13" t="n">
        <v>18</v>
      </c>
      <c r="E8" s="13" t="n">
        <v>15</v>
      </c>
      <c r="F8" s="20" t="s">
        <v>19</v>
      </c>
      <c r="G8" s="20" t="s">
        <v>19</v>
      </c>
      <c r="H8" s="20" t="s">
        <v>19</v>
      </c>
      <c r="I8" s="20" t="s">
        <v>19</v>
      </c>
      <c r="J8" s="20" t="s">
        <v>19</v>
      </c>
      <c r="K8" s="18" t="n">
        <f aca="false">AVERAGE(B8:J8)</f>
        <v>17</v>
      </c>
      <c r="L8" s="18" t="n">
        <f aca="false">STDEV(B8:J8)/SQRT(15)</f>
        <v>0.447213595499958</v>
      </c>
      <c r="M8" s="19" t="n">
        <f aca="false">K8/$K$3</f>
        <v>0.487261146496815</v>
      </c>
      <c r="N8" s="19" t="n">
        <f aca="false">L8/$K$3</f>
        <v>0.0128182240748396</v>
      </c>
    </row>
    <row r="9" customFormat="false" ht="22.05" hidden="false" customHeight="false" outlineLevel="0" collapsed="false">
      <c r="L9" s="21"/>
      <c r="M9" s="21"/>
      <c r="N9" s="21"/>
    </row>
    <row r="10" customFormat="false" ht="22.05" hidden="false" customHeight="false" outlineLevel="0" collapsed="false">
      <c r="A10" s="14" t="s">
        <v>34</v>
      </c>
      <c r="B10" s="14"/>
      <c r="C10" s="14"/>
      <c r="D10" s="14"/>
    </row>
    <row r="11" customFormat="false" ht="22.05" hidden="false" customHeight="false" outlineLevel="0" collapsed="false">
      <c r="B11" s="13" t="s">
        <v>1</v>
      </c>
      <c r="C11" s="13" t="s">
        <v>2</v>
      </c>
      <c r="D11" s="13" t="s">
        <v>3</v>
      </c>
      <c r="E11" s="13" t="s">
        <v>4</v>
      </c>
      <c r="F11" s="14" t="s">
        <v>10</v>
      </c>
      <c r="G11" s="14" t="s">
        <v>11</v>
      </c>
      <c r="H11" s="17" t="s">
        <v>12</v>
      </c>
      <c r="I11" s="17" t="s">
        <v>13</v>
      </c>
    </row>
    <row r="12" customFormat="false" ht="22.05" hidden="false" customHeight="false" outlineLevel="0" collapsed="false">
      <c r="A12" s="13" t="s">
        <v>14</v>
      </c>
      <c r="B12" s="15" t="n">
        <v>20</v>
      </c>
      <c r="C12" s="13" t="n">
        <v>29</v>
      </c>
      <c r="D12" s="13" t="n">
        <v>29</v>
      </c>
      <c r="E12" s="15" t="n">
        <v>56</v>
      </c>
      <c r="F12" s="22" t="n">
        <f aca="false">AVERAGE(B12:E12)</f>
        <v>33.5</v>
      </c>
      <c r="G12" s="22" t="n">
        <f aca="false">STDEV(B12:E12)/SQRT(4)</f>
        <v>7.79422863405995</v>
      </c>
      <c r="H12" s="19" t="n">
        <f aca="false">F12/$F$12</f>
        <v>1</v>
      </c>
      <c r="I12" s="19" t="n">
        <f aca="false">G12/$F$12</f>
        <v>0.232663541315222</v>
      </c>
    </row>
    <row r="13" customFormat="false" ht="22.05" hidden="false" customHeight="false" outlineLevel="0" collapsed="false">
      <c r="A13" s="13" t="s">
        <v>15</v>
      </c>
      <c r="B13" s="15" t="n">
        <v>31</v>
      </c>
      <c r="C13" s="13" t="n">
        <v>29</v>
      </c>
      <c r="D13" s="13" t="n">
        <v>21</v>
      </c>
      <c r="E13" s="15" t="n">
        <v>41</v>
      </c>
      <c r="F13" s="22" t="n">
        <f aca="false">AVERAGE(B13:E13)</f>
        <v>30.5</v>
      </c>
      <c r="G13" s="22" t="n">
        <f aca="false">STDEV(B13:E13)/SQRT(4)</f>
        <v>4.11298755975102</v>
      </c>
      <c r="H13" s="19" t="n">
        <f aca="false">F13/$F$12</f>
        <v>0.91044776119403</v>
      </c>
      <c r="I13" s="19" t="n">
        <f aca="false">G13/$F$12</f>
        <v>0.122775748052269</v>
      </c>
    </row>
    <row r="14" customFormat="false" ht="22.05" hidden="false" customHeight="false" outlineLevel="0" collapsed="false">
      <c r="A14" s="13" t="s">
        <v>16</v>
      </c>
      <c r="B14" s="15" t="n">
        <v>31</v>
      </c>
      <c r="C14" s="13" t="n">
        <v>25</v>
      </c>
      <c r="D14" s="13" t="n">
        <v>21</v>
      </c>
      <c r="E14" s="23" t="s">
        <v>19</v>
      </c>
      <c r="F14" s="22" t="n">
        <f aca="false">AVERAGE(B14:E14)</f>
        <v>25.6666666666667</v>
      </c>
      <c r="G14" s="22" t="n">
        <f aca="false">STDEV(B14:E14)/SQRT(4)</f>
        <v>2.51661147842358</v>
      </c>
      <c r="H14" s="19" t="n">
        <f aca="false">F14/$F$12</f>
        <v>0.766169154228856</v>
      </c>
      <c r="I14" s="19" t="n">
        <f aca="false">G14/$F$12</f>
        <v>0.0751227306992115</v>
      </c>
    </row>
    <row r="15" customFormat="false" ht="22.05" hidden="false" customHeight="false" outlineLevel="0" collapsed="false">
      <c r="A15" s="13" t="s">
        <v>17</v>
      </c>
      <c r="B15" s="15" t="n">
        <v>29</v>
      </c>
      <c r="C15" s="13" t="n">
        <v>25</v>
      </c>
      <c r="D15" s="13" t="n">
        <v>28</v>
      </c>
      <c r="E15" s="23" t="s">
        <v>19</v>
      </c>
      <c r="F15" s="22" t="n">
        <f aca="false">AVERAGE(B15:E15)</f>
        <v>27.3333333333333</v>
      </c>
      <c r="G15" s="22" t="n">
        <f aca="false">STDEV(B15:E15)/SQRT(4)</f>
        <v>1.04083299973307</v>
      </c>
      <c r="H15" s="19" t="n">
        <f aca="false">F15/$F$12</f>
        <v>0.81592039800995</v>
      </c>
      <c r="I15" s="19" t="n">
        <f aca="false">G15/$F$12</f>
        <v>0.0310696417830766</v>
      </c>
    </row>
    <row r="16" customFormat="false" ht="22.05" hidden="false" customHeight="false" outlineLevel="0" collapsed="false">
      <c r="A16" s="13" t="s">
        <v>18</v>
      </c>
      <c r="B16" s="15" t="n">
        <v>29</v>
      </c>
      <c r="C16" s="13" t="n">
        <v>18</v>
      </c>
      <c r="D16" s="13" t="n">
        <v>24</v>
      </c>
      <c r="E16" s="23" t="s">
        <v>19</v>
      </c>
      <c r="F16" s="22" t="n">
        <f aca="false">AVERAGE(B16:E16)</f>
        <v>23.6666666666667</v>
      </c>
      <c r="G16" s="22" t="n">
        <f aca="false">STDEV(B16:E16)/SQRT(4)</f>
        <v>2.75378527364305</v>
      </c>
      <c r="H16" s="19" t="n">
        <f aca="false">F16/$F$12</f>
        <v>0.706467661691542</v>
      </c>
      <c r="I16" s="19" t="n">
        <f aca="false">G16/$F$12</f>
        <v>0.0822025454818821</v>
      </c>
    </row>
    <row r="17" customFormat="false" ht="22.05" hidden="false" customHeight="false" outlineLevel="0" collapsed="false">
      <c r="A17" s="13" t="s">
        <v>20</v>
      </c>
      <c r="B17" s="20" t="s">
        <v>19</v>
      </c>
      <c r="C17" s="20" t="s">
        <v>19</v>
      </c>
      <c r="D17" s="20" t="s">
        <v>19</v>
      </c>
      <c r="E17" s="20" t="s">
        <v>19</v>
      </c>
      <c r="F17" s="22" t="e">
        <f aca="false">AVERAGE(B17:E17)</f>
        <v>#DIV/0!</v>
      </c>
      <c r="G17" s="22" t="e">
        <f aca="false">STDEV(B17:E17)/SQRT(4)</f>
        <v>#DIV/0!</v>
      </c>
      <c r="H17" s="19" t="e">
        <f aca="false">F17/$F$12</f>
        <v>#DIV/0!</v>
      </c>
      <c r="I17" s="19" t="e">
        <f aca="false">G17/$F$12</f>
        <v>#DIV/0!</v>
      </c>
    </row>
    <row r="20" customFormat="false" ht="22.05" hidden="false" customHeight="false" outlineLevel="0" collapsed="false">
      <c r="A20" s="14" t="s">
        <v>35</v>
      </c>
      <c r="B20" s="14"/>
      <c r="C20" s="14"/>
      <c r="D20" s="14"/>
    </row>
    <row r="21" customFormat="false" ht="22.05" hidden="false" customHeight="false" outlineLevel="0" collapsed="false">
      <c r="B21" s="13" t="s">
        <v>1</v>
      </c>
      <c r="C21" s="13" t="s">
        <v>2</v>
      </c>
      <c r="D21" s="13" t="s">
        <v>3</v>
      </c>
      <c r="E21" s="14" t="s">
        <v>10</v>
      </c>
      <c r="F21" s="14" t="s">
        <v>11</v>
      </c>
      <c r="G21" s="17" t="s">
        <v>12</v>
      </c>
      <c r="H21" s="17" t="s">
        <v>13</v>
      </c>
    </row>
    <row r="22" customFormat="false" ht="22.05" hidden="false" customHeight="false" outlineLevel="0" collapsed="false">
      <c r="A22" s="13" t="s">
        <v>14</v>
      </c>
      <c r="B22" s="15" t="n">
        <v>29</v>
      </c>
      <c r="C22" s="13" t="n">
        <v>24</v>
      </c>
      <c r="D22" s="13" t="n">
        <v>26</v>
      </c>
      <c r="E22" s="22" t="n">
        <f aca="false">AVERAGE(B22:D22)</f>
        <v>26.3333333333333</v>
      </c>
      <c r="F22" s="13" t="n">
        <f aca="false">STDEV(B22:D22)/SQRT(3)</f>
        <v>1.45296631451356</v>
      </c>
      <c r="G22" s="19" t="n">
        <f aca="false">E22/$E$22</f>
        <v>1</v>
      </c>
      <c r="H22" s="19" t="n">
        <f aca="false">F22/$E$22</f>
        <v>0.0551759359941858</v>
      </c>
    </row>
    <row r="23" customFormat="false" ht="22.05" hidden="false" customHeight="false" outlineLevel="0" collapsed="false">
      <c r="A23" s="13" t="s">
        <v>15</v>
      </c>
      <c r="B23" s="15" t="n">
        <v>23</v>
      </c>
      <c r="C23" s="15" t="n">
        <v>32</v>
      </c>
      <c r="D23" s="13" t="n">
        <v>31</v>
      </c>
      <c r="E23" s="22" t="n">
        <f aca="false">AVERAGE(B23:D23)</f>
        <v>28.6666666666667</v>
      </c>
      <c r="F23" s="13" t="n">
        <f aca="false">STDEV(B23:D23)/SQRT(3)</f>
        <v>2.84800124843918</v>
      </c>
      <c r="G23" s="19" t="n">
        <f aca="false">E23/$E$22</f>
        <v>1.08860759493671</v>
      </c>
      <c r="H23" s="19" t="n">
        <f aca="false">F23/$E$22</f>
        <v>0.10815194614326</v>
      </c>
    </row>
    <row r="24" customFormat="false" ht="22.05" hidden="false" customHeight="false" outlineLevel="0" collapsed="false">
      <c r="A24" s="13" t="s">
        <v>16</v>
      </c>
      <c r="B24" s="15" t="n">
        <v>33</v>
      </c>
      <c r="C24" s="15" t="n">
        <v>20</v>
      </c>
      <c r="D24" s="13" t="n">
        <v>23</v>
      </c>
      <c r="E24" s="22" t="n">
        <f aca="false">AVERAGE(B24:D24)</f>
        <v>25.3333333333333</v>
      </c>
      <c r="F24" s="13" t="n">
        <f aca="false">STDEV(B24:D24)/SQRT(3)</f>
        <v>3.92994204085053</v>
      </c>
      <c r="G24" s="19" t="n">
        <f aca="false">E24/$E$22</f>
        <v>0.962025316455696</v>
      </c>
      <c r="H24" s="19" t="n">
        <f aca="false">F24/$E$22</f>
        <v>0.149238305348754</v>
      </c>
    </row>
    <row r="25" customFormat="false" ht="22.05" hidden="false" customHeight="false" outlineLevel="0" collapsed="false">
      <c r="A25" s="13" t="s">
        <v>17</v>
      </c>
      <c r="B25" s="15" t="n">
        <v>27</v>
      </c>
      <c r="C25" s="15" t="n">
        <v>22</v>
      </c>
      <c r="D25" s="13" t="n">
        <v>28</v>
      </c>
      <c r="E25" s="22" t="n">
        <f aca="false">AVERAGE(B25:D25)</f>
        <v>25.6666666666667</v>
      </c>
      <c r="F25" s="13" t="n">
        <f aca="false">STDEV(B25:D25)/SQRT(3)</f>
        <v>1.85592145427667</v>
      </c>
      <c r="G25" s="19" t="n">
        <f aca="false">E25/$E$22</f>
        <v>0.974683544303798</v>
      </c>
      <c r="H25" s="19" t="n">
        <f aca="false">F25/$E$22</f>
        <v>0.0704780299092408</v>
      </c>
    </row>
    <row r="26" customFormat="false" ht="22.05" hidden="false" customHeight="false" outlineLevel="0" collapsed="false">
      <c r="A26" s="13" t="s">
        <v>18</v>
      </c>
      <c r="B26" s="15" t="n">
        <v>25</v>
      </c>
      <c r="C26" s="15" t="n">
        <v>24</v>
      </c>
      <c r="D26" s="13" t="n">
        <v>22</v>
      </c>
      <c r="E26" s="22" t="n">
        <f aca="false">AVERAGE(B26:D26)</f>
        <v>23.6666666666667</v>
      </c>
      <c r="F26" s="13" t="n">
        <f aca="false">STDEV(B26:D26)/SQRT(3)</f>
        <v>0.881917103688197</v>
      </c>
      <c r="G26" s="19" t="n">
        <f aca="false">E26/$E$22</f>
        <v>0.89873417721519</v>
      </c>
      <c r="H26" s="19" t="n">
        <f aca="false">F26/$E$22</f>
        <v>0.0334905229248682</v>
      </c>
    </row>
    <row r="27" customFormat="false" ht="22.05" hidden="false" customHeight="false" outlineLevel="0" collapsed="false">
      <c r="A27" s="13" t="s">
        <v>20</v>
      </c>
      <c r="B27" s="20" t="s">
        <v>19</v>
      </c>
      <c r="C27" s="20" t="s">
        <v>19</v>
      </c>
      <c r="D27" s="20" t="s">
        <v>19</v>
      </c>
      <c r="E27" s="22" t="e">
        <f aca="false">AVERAGE(B27:D27)</f>
        <v>#DIV/0!</v>
      </c>
      <c r="F27" s="13" t="e">
        <f aca="false">STDEV(B27:D27)/SQRT(3)</f>
        <v>#DIV/0!</v>
      </c>
      <c r="G27" s="19" t="e">
        <f aca="false">E27/$E$22</f>
        <v>#DIV/0!</v>
      </c>
      <c r="H27" s="19" t="e">
        <f aca="false">F27/$E$22</f>
        <v>#DIV/0!</v>
      </c>
    </row>
    <row r="30" customFormat="false" ht="22.05" hidden="false" customHeight="false" outlineLevel="0" collapsed="false">
      <c r="A30" s="14" t="s">
        <v>36</v>
      </c>
      <c r="B30" s="14"/>
      <c r="C30" s="14"/>
      <c r="D30" s="14"/>
      <c r="E30" s="14"/>
      <c r="F30" s="14"/>
    </row>
    <row r="31" customFormat="false" ht="22.05" hidden="false" customHeight="false" outlineLevel="0" collapsed="false">
      <c r="B31" s="13" t="s">
        <v>1</v>
      </c>
      <c r="C31" s="13" t="s">
        <v>2</v>
      </c>
      <c r="D31" s="13" t="s">
        <v>3</v>
      </c>
      <c r="E31" s="13" t="s">
        <v>4</v>
      </c>
      <c r="F31" s="13" t="s">
        <v>5</v>
      </c>
      <c r="G31" s="13" t="s">
        <v>6</v>
      </c>
      <c r="H31" s="14" t="s">
        <v>10</v>
      </c>
      <c r="I31" s="14" t="s">
        <v>11</v>
      </c>
      <c r="J31" s="17" t="s">
        <v>12</v>
      </c>
      <c r="K31" s="17" t="s">
        <v>13</v>
      </c>
    </row>
    <row r="32" customFormat="false" ht="22.05" hidden="false" customHeight="false" outlineLevel="0" collapsed="false">
      <c r="A32" s="13" t="s">
        <v>14</v>
      </c>
      <c r="B32" s="15" t="n">
        <v>30</v>
      </c>
      <c r="C32" s="13" t="n">
        <v>29</v>
      </c>
      <c r="D32" s="15" t="n">
        <v>39</v>
      </c>
      <c r="E32" s="15" t="n">
        <v>31</v>
      </c>
      <c r="F32" s="15" t="n">
        <v>37</v>
      </c>
      <c r="G32" s="15" t="n">
        <v>24</v>
      </c>
      <c r="H32" s="22" t="n">
        <f aca="false">AVERAGE(B32:G32)</f>
        <v>31.6666666666667</v>
      </c>
      <c r="I32" s="22" t="n">
        <f aca="false">STDEV(B32:G32)/SQRT(6)</f>
        <v>2.24598407038974</v>
      </c>
      <c r="J32" s="19" t="n">
        <f aca="false">H32/$H$32</f>
        <v>1</v>
      </c>
      <c r="K32" s="19" t="n">
        <f aca="false">I32/$H$32</f>
        <v>0.0709258127491496</v>
      </c>
    </row>
    <row r="33" customFormat="false" ht="22.05" hidden="false" customHeight="false" outlineLevel="0" collapsed="false">
      <c r="A33" s="13" t="s">
        <v>15</v>
      </c>
      <c r="B33" s="15" t="n">
        <v>28</v>
      </c>
      <c r="C33" s="13" t="n">
        <v>22</v>
      </c>
      <c r="D33" s="15" t="n">
        <v>43</v>
      </c>
      <c r="E33" s="15" t="n">
        <v>31</v>
      </c>
      <c r="F33" s="15" t="n">
        <v>27</v>
      </c>
      <c r="G33" s="15" t="n">
        <v>26</v>
      </c>
      <c r="H33" s="22" t="n">
        <f aca="false">AVERAGE(B33:G33)</f>
        <v>29.5</v>
      </c>
      <c r="I33" s="22" t="n">
        <f aca="false">STDEV(B33:G33)/SQRT(6)</f>
        <v>2.95240015354739</v>
      </c>
      <c r="J33" s="19" t="n">
        <f aca="false">H33/$H$32</f>
        <v>0.931578947368421</v>
      </c>
      <c r="K33" s="19" t="n">
        <f aca="false">I33/$H$32</f>
        <v>0.0932336890593912</v>
      </c>
    </row>
    <row r="34" customFormat="false" ht="22.05" hidden="false" customHeight="false" outlineLevel="0" collapsed="false">
      <c r="A34" s="13" t="s">
        <v>16</v>
      </c>
      <c r="B34" s="15" t="n">
        <v>24</v>
      </c>
      <c r="C34" s="13" t="n">
        <v>32</v>
      </c>
      <c r="D34" s="15" t="n">
        <v>44</v>
      </c>
      <c r="E34" s="15" t="n">
        <v>32</v>
      </c>
      <c r="F34" s="15" t="n">
        <v>24</v>
      </c>
      <c r="G34" s="15" t="n">
        <v>28</v>
      </c>
      <c r="H34" s="22" t="n">
        <f aca="false">AVERAGE(B34:G34)</f>
        <v>30.6666666666667</v>
      </c>
      <c r="I34" s="22" t="n">
        <f aca="false">STDEV(B34:G34)/SQRT(6)</f>
        <v>3.04046780026437</v>
      </c>
      <c r="J34" s="19" t="n">
        <f aca="false">H34/$H$32</f>
        <v>0.968421052631579</v>
      </c>
      <c r="K34" s="19" t="n">
        <f aca="false">I34/$H$32</f>
        <v>0.0960147726399274</v>
      </c>
    </row>
    <row r="35" customFormat="false" ht="22.05" hidden="false" customHeight="false" outlineLevel="0" collapsed="false">
      <c r="A35" s="13" t="s">
        <v>17</v>
      </c>
      <c r="B35" s="15" t="n">
        <v>24</v>
      </c>
      <c r="C35" s="13" t="n">
        <v>28</v>
      </c>
      <c r="D35" s="15" t="n">
        <v>37</v>
      </c>
      <c r="E35" s="15" t="n">
        <v>33</v>
      </c>
      <c r="F35" s="15" t="n">
        <v>31</v>
      </c>
      <c r="G35" s="15" t="n">
        <v>23</v>
      </c>
      <c r="H35" s="22" t="n">
        <f aca="false">AVERAGE(B35:G35)</f>
        <v>29.3333333333333</v>
      </c>
      <c r="I35" s="22" t="n">
        <f aca="false">STDEV(B35:G35)/SQRT(6)</f>
        <v>2.20100986922922</v>
      </c>
      <c r="J35" s="19" t="n">
        <f aca="false">H35/$H$32</f>
        <v>0.926315789473684</v>
      </c>
      <c r="K35" s="19" t="n">
        <f aca="false">I35/$H$32</f>
        <v>0.0695055748177648</v>
      </c>
    </row>
    <row r="36" customFormat="false" ht="22.05" hidden="false" customHeight="false" outlineLevel="0" collapsed="false">
      <c r="A36" s="13" t="s">
        <v>18</v>
      </c>
      <c r="B36" s="15" t="n">
        <v>24</v>
      </c>
      <c r="C36" s="13" t="n">
        <v>22</v>
      </c>
      <c r="D36" s="20" t="s">
        <v>19</v>
      </c>
      <c r="E36" s="20" t="s">
        <v>19</v>
      </c>
      <c r="F36" s="15" t="n">
        <v>20</v>
      </c>
      <c r="G36" s="15" t="n">
        <v>30</v>
      </c>
      <c r="H36" s="22" t="n">
        <f aca="false">AVERAGE(B36:G36)</f>
        <v>24</v>
      </c>
      <c r="I36" s="22" t="n">
        <f aca="false">STDEV(B36:G36)/SQRT(6)</f>
        <v>1.76383420737639</v>
      </c>
      <c r="J36" s="19" t="n">
        <f aca="false">H36/$H$32</f>
        <v>0.757894736842105</v>
      </c>
      <c r="K36" s="19" t="n">
        <f aca="false">I36/$H$32</f>
        <v>0.0557000276013596</v>
      </c>
    </row>
    <row r="37" customFormat="false" ht="22.05" hidden="false" customHeight="false" outlineLevel="0" collapsed="false">
      <c r="A37" s="13" t="s">
        <v>20</v>
      </c>
      <c r="B37" s="20" t="s">
        <v>19</v>
      </c>
      <c r="C37" s="20" t="s">
        <v>19</v>
      </c>
      <c r="D37" s="20" t="s">
        <v>19</v>
      </c>
      <c r="E37" s="20" t="s">
        <v>19</v>
      </c>
      <c r="F37" s="20" t="s">
        <v>19</v>
      </c>
      <c r="G37" s="20" t="s">
        <v>19</v>
      </c>
      <c r="H37" s="22" t="e">
        <f aca="false">AVERAGE(B37:G37)</f>
        <v>#DIV/0!</v>
      </c>
      <c r="I37" s="22" t="e">
        <f aca="false">STDEV(B37:G37)/SQRT(6)</f>
        <v>#DIV/0!</v>
      </c>
      <c r="J37" s="19" t="e">
        <f aca="false">H37/$H$32</f>
        <v>#DIV/0!</v>
      </c>
      <c r="K37" s="19" t="e">
        <f aca="false">I37/$H$32</f>
        <v>#DIV/0!</v>
      </c>
    </row>
    <row r="38" customFormat="false" ht="22.05" hidden="false" customHeight="false" outlineLevel="0" collapsed="false">
      <c r="K38" s="24"/>
    </row>
  </sheetData>
  <mergeCells count="4">
    <mergeCell ref="A1:J1"/>
    <mergeCell ref="A10:D10"/>
    <mergeCell ref="A20:D20"/>
    <mergeCell ref="A30:F30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7"/>
  <sheetViews>
    <sheetView showFormulas="false" showGridLines="true" showRowColHeaders="true" showZeros="true" rightToLeft="false" tabSelected="false" showOutlineSymbols="true" defaultGridColor="true" view="normal" topLeftCell="N22" colorId="64" zoomScale="90" zoomScaleNormal="90" zoomScalePageLayoutView="100" workbookViewId="0">
      <selection pane="topLeft" activeCell="S31" activeCellId="0" sqref="S31"/>
    </sheetView>
  </sheetViews>
  <sheetFormatPr defaultColWidth="11.53515625" defaultRowHeight="22.05" customHeight="true" zeroHeight="false" outlineLevelRow="0" outlineLevelCol="0"/>
  <cols>
    <col collapsed="false" customWidth="true" hidden="false" outlineLevel="0" max="1" min="1" style="13" width="27.45"/>
    <col collapsed="false" customWidth="true" hidden="false" outlineLevel="0" max="4" min="2" style="13" width="14.15"/>
    <col collapsed="false" customWidth="true" hidden="false" outlineLevel="0" max="5" min="5" style="13" width="15.14"/>
    <col collapsed="false" customWidth="true" hidden="false" outlineLevel="0" max="6" min="6" style="13" width="14.15"/>
    <col collapsed="false" customWidth="true" hidden="false" outlineLevel="0" max="7" min="7" style="13" width="34.1"/>
    <col collapsed="false" customWidth="true" hidden="false" outlineLevel="0" max="8" min="8" style="13" width="29.31"/>
    <col collapsed="false" customWidth="true" hidden="false" outlineLevel="0" max="9" min="9" style="13" width="14.15"/>
    <col collapsed="false" customWidth="true" hidden="false" outlineLevel="0" max="11" min="10" style="13" width="14.93"/>
    <col collapsed="false" customWidth="true" hidden="false" outlineLevel="0" max="12" min="12" style="13" width="16.01"/>
    <col collapsed="false" customWidth="true" hidden="false" outlineLevel="0" max="13" min="13" style="13" width="35.7"/>
    <col collapsed="false" customWidth="true" hidden="false" outlineLevel="0" max="14" min="14" style="13" width="31.84"/>
    <col collapsed="false" customWidth="true" hidden="false" outlineLevel="0" max="15" min="15" style="13" width="29.31"/>
    <col collapsed="false" customWidth="true" hidden="false" outlineLevel="0" max="16" min="16" style="13" width="14.93"/>
    <col collapsed="false" customWidth="true" hidden="false" outlineLevel="0" max="17" min="17" style="13" width="16.01"/>
    <col collapsed="false" customWidth="true" hidden="false" outlineLevel="0" max="20" min="18" style="13" width="34.1"/>
    <col collapsed="false" customWidth="true" hidden="false" outlineLevel="0" max="21" min="21" style="13" width="29.31"/>
    <col collapsed="false" customWidth="false" hidden="false" outlineLevel="0" max="16384" min="22" style="13" width="11.53"/>
  </cols>
  <sheetData>
    <row r="1" customFormat="false" ht="22.05" hidden="false" customHeight="false" outlineLevel="0" collapsed="false">
      <c r="A1" s="14" t="s">
        <v>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customFormat="false" ht="22.05" hidden="false" customHeight="false" outlineLevel="0" collapsed="false"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6" t="s">
        <v>10</v>
      </c>
      <c r="L2" s="16" t="s">
        <v>11</v>
      </c>
      <c r="M2" s="17" t="s">
        <v>12</v>
      </c>
      <c r="N2" s="17" t="s">
        <v>13</v>
      </c>
      <c r="O2" s="16"/>
      <c r="P2" s="15"/>
      <c r="Q2" s="15"/>
      <c r="R2" s="16"/>
      <c r="S2" s="16"/>
      <c r="T2" s="16"/>
      <c r="U2" s="16"/>
    </row>
    <row r="3" customFormat="false" ht="22.05" hidden="false" customHeight="false" outlineLevel="0" collapsed="false">
      <c r="A3" s="13" t="s">
        <v>14</v>
      </c>
      <c r="B3" s="13" t="n">
        <v>24</v>
      </c>
      <c r="C3" s="13" t="n">
        <v>41</v>
      </c>
      <c r="D3" s="13" t="n">
        <v>38</v>
      </c>
      <c r="E3" s="13" t="n">
        <v>40</v>
      </c>
      <c r="F3" s="15" t="n">
        <v>39</v>
      </c>
      <c r="G3" s="15" t="n">
        <v>35</v>
      </c>
      <c r="H3" s="15" t="n">
        <v>33</v>
      </c>
      <c r="I3" s="15" t="n">
        <v>34</v>
      </c>
      <c r="J3" s="15" t="n">
        <v>30</v>
      </c>
      <c r="K3" s="18" t="n">
        <f aca="false">AVERAGE(B3:J3)</f>
        <v>34.8888888888889</v>
      </c>
      <c r="L3" s="18" t="n">
        <f aca="false">STDEV(B3:J3)/SQRT(9)</f>
        <v>1.81386974636828</v>
      </c>
      <c r="M3" s="19" t="n">
        <f aca="false">K3/$K$3</f>
        <v>1</v>
      </c>
      <c r="N3" s="19" t="n">
        <f aca="false">L3/$K$3</f>
        <v>0.0519898971888997</v>
      </c>
      <c r="O3" s="15"/>
      <c r="P3" s="15"/>
      <c r="Q3" s="15"/>
      <c r="R3" s="18"/>
      <c r="S3" s="18"/>
      <c r="T3" s="25"/>
      <c r="U3" s="25"/>
    </row>
    <row r="4" customFormat="false" ht="22.05" hidden="false" customHeight="false" outlineLevel="0" collapsed="false">
      <c r="A4" s="13" t="s">
        <v>15</v>
      </c>
      <c r="B4" s="13" t="n">
        <v>23</v>
      </c>
      <c r="C4" s="13" t="n">
        <v>44</v>
      </c>
      <c r="D4" s="13" t="n">
        <v>30</v>
      </c>
      <c r="E4" s="13" t="n">
        <v>24</v>
      </c>
      <c r="F4" s="15" t="n">
        <v>36</v>
      </c>
      <c r="G4" s="15" t="n">
        <v>29</v>
      </c>
      <c r="H4" s="15" t="n">
        <v>29</v>
      </c>
      <c r="I4" s="15" t="n">
        <v>32</v>
      </c>
      <c r="J4" s="15" t="n">
        <v>34</v>
      </c>
      <c r="K4" s="18" t="n">
        <f aca="false">AVERAGE(B4:J4)</f>
        <v>31.2222222222222</v>
      </c>
      <c r="L4" s="18" t="n">
        <f aca="false">STDEV(B4:J4)/SQRT(9)</f>
        <v>2.12640657877829</v>
      </c>
      <c r="M4" s="19" t="n">
        <f aca="false">K4/$K$3</f>
        <v>0.894904458598726</v>
      </c>
      <c r="N4" s="19" t="n">
        <f aca="false">L4/$K$3</f>
        <v>0.060947959264346</v>
      </c>
      <c r="O4" s="15"/>
      <c r="P4" s="15"/>
      <c r="Q4" s="15"/>
      <c r="R4" s="18"/>
      <c r="S4" s="18"/>
      <c r="T4" s="25"/>
      <c r="U4" s="25"/>
    </row>
    <row r="5" customFormat="false" ht="22.05" hidden="false" customHeight="false" outlineLevel="0" collapsed="false">
      <c r="A5" s="13" t="s">
        <v>16</v>
      </c>
      <c r="B5" s="13" t="n">
        <v>34</v>
      </c>
      <c r="C5" s="13" t="n">
        <v>32</v>
      </c>
      <c r="D5" s="13" t="n">
        <v>24</v>
      </c>
      <c r="E5" s="13" t="n">
        <v>21</v>
      </c>
      <c r="F5" s="15" t="n">
        <v>40</v>
      </c>
      <c r="G5" s="15" t="n">
        <v>28</v>
      </c>
      <c r="H5" s="15" t="n">
        <v>27</v>
      </c>
      <c r="I5" s="15" t="n">
        <v>30</v>
      </c>
      <c r="J5" s="15" t="n">
        <v>24</v>
      </c>
      <c r="K5" s="18" t="n">
        <f aca="false">AVERAGE(B5:J5)</f>
        <v>28.8888888888889</v>
      </c>
      <c r="L5" s="18" t="n">
        <f aca="false">STDEV(B5:J5)/SQRT(9)</f>
        <v>1.95394504389655</v>
      </c>
      <c r="M5" s="19" t="n">
        <f aca="false">K5/$K$3</f>
        <v>0.828025477707006</v>
      </c>
      <c r="N5" s="19" t="n">
        <f aca="false">L5/$K$3</f>
        <v>0.056004794251812</v>
      </c>
      <c r="O5" s="15"/>
      <c r="P5" s="15"/>
      <c r="Q5" s="15"/>
      <c r="R5" s="18"/>
      <c r="S5" s="18"/>
      <c r="T5" s="25"/>
      <c r="U5" s="25"/>
    </row>
    <row r="6" customFormat="false" ht="22.05" hidden="false" customHeight="false" outlineLevel="0" collapsed="false">
      <c r="A6" s="13" t="s">
        <v>17</v>
      </c>
      <c r="B6" s="13" t="n">
        <v>33</v>
      </c>
      <c r="C6" s="13" t="n">
        <v>26</v>
      </c>
      <c r="D6" s="13" t="n">
        <v>22</v>
      </c>
      <c r="E6" s="13" t="n">
        <v>31</v>
      </c>
      <c r="F6" s="15" t="n">
        <v>31</v>
      </c>
      <c r="G6" s="15" t="n">
        <v>20</v>
      </c>
      <c r="H6" s="15" t="n">
        <v>16</v>
      </c>
      <c r="I6" s="15" t="n">
        <v>20</v>
      </c>
      <c r="J6" s="15" t="n">
        <v>24</v>
      </c>
      <c r="K6" s="18" t="n">
        <f aca="false">AVERAGE(B6:J6)</f>
        <v>24.7777777777778</v>
      </c>
      <c r="L6" s="18" t="n">
        <f aca="false">STDEV(B6:J6)/SQRT(9)</f>
        <v>1.96339967189692</v>
      </c>
      <c r="M6" s="19" t="n">
        <f aca="false">K6/$K$3</f>
        <v>0.710191082802548</v>
      </c>
      <c r="N6" s="19" t="n">
        <f aca="false">L6/$K$3</f>
        <v>0.0562757867741156</v>
      </c>
      <c r="O6" s="15"/>
      <c r="P6" s="15"/>
      <c r="Q6" s="15"/>
      <c r="R6" s="18"/>
      <c r="S6" s="18"/>
      <c r="T6" s="25"/>
      <c r="U6" s="25"/>
    </row>
    <row r="7" customFormat="false" ht="22.05" hidden="false" customHeight="false" outlineLevel="0" collapsed="false">
      <c r="A7" s="13" t="s">
        <v>18</v>
      </c>
      <c r="B7" s="15" t="n">
        <v>34</v>
      </c>
      <c r="C7" s="15" t="n">
        <v>21</v>
      </c>
      <c r="D7" s="13" t="n">
        <v>17</v>
      </c>
      <c r="E7" s="13" t="n">
        <v>37</v>
      </c>
      <c r="F7" s="15" t="n">
        <v>24</v>
      </c>
      <c r="G7" s="15" t="n">
        <v>20</v>
      </c>
      <c r="H7" s="20" t="s">
        <v>19</v>
      </c>
      <c r="I7" s="15" t="n">
        <v>21</v>
      </c>
      <c r="J7" s="15" t="n">
        <v>28</v>
      </c>
      <c r="K7" s="18" t="n">
        <f aca="false">AVERAGE(B7:J7)</f>
        <v>25.25</v>
      </c>
      <c r="L7" s="18" t="n">
        <f aca="false">STDEV(B7:J7)/SQRT(9)</f>
        <v>2.37546987833084</v>
      </c>
      <c r="M7" s="19" t="n">
        <f aca="false">K7/$K$3</f>
        <v>0.723726114649682</v>
      </c>
      <c r="N7" s="19" t="n">
        <f aca="false">L7/$K$3</f>
        <v>0.0680867162578904</v>
      </c>
      <c r="O7" s="15"/>
      <c r="P7" s="15"/>
      <c r="Q7" s="15"/>
      <c r="R7" s="18"/>
      <c r="S7" s="18"/>
      <c r="T7" s="25"/>
      <c r="U7" s="25"/>
    </row>
    <row r="8" customFormat="false" ht="22.05" hidden="false" customHeight="false" outlineLevel="0" collapsed="false">
      <c r="A8" s="13" t="s">
        <v>20</v>
      </c>
      <c r="B8" s="20" t="s">
        <v>19</v>
      </c>
      <c r="C8" s="15" t="n">
        <v>18</v>
      </c>
      <c r="D8" s="13" t="n">
        <v>18</v>
      </c>
      <c r="E8" s="13" t="n">
        <v>15</v>
      </c>
      <c r="F8" s="20" t="s">
        <v>19</v>
      </c>
      <c r="G8" s="20" t="s">
        <v>19</v>
      </c>
      <c r="H8" s="20" t="s">
        <v>19</v>
      </c>
      <c r="I8" s="20" t="s">
        <v>19</v>
      </c>
      <c r="J8" s="20" t="s">
        <v>19</v>
      </c>
      <c r="K8" s="18" t="n">
        <f aca="false">AVERAGE(B8:J8)</f>
        <v>17</v>
      </c>
      <c r="L8" s="18" t="n">
        <f aca="false">STDEV(B8:J8)/SQRT(9)</f>
        <v>0.577350269189626</v>
      </c>
      <c r="M8" s="19" t="n">
        <f aca="false">K8/$K$3</f>
        <v>0.487261146496815</v>
      </c>
      <c r="N8" s="19" t="n">
        <f aca="false">L8/$K$3</f>
        <v>0.0165482561232695</v>
      </c>
      <c r="O8" s="15"/>
      <c r="P8" s="15"/>
      <c r="Q8" s="15"/>
      <c r="R8" s="18"/>
      <c r="S8" s="18"/>
      <c r="T8" s="25"/>
      <c r="U8" s="25"/>
    </row>
    <row r="10" customFormat="false" ht="22.05" hidden="false" customHeight="false" outlineLevel="0" collapsed="false">
      <c r="A10" s="14" t="s">
        <v>38</v>
      </c>
      <c r="B10" s="14"/>
      <c r="C10" s="14"/>
      <c r="D10" s="14"/>
      <c r="E10" s="14"/>
      <c r="F10" s="14"/>
      <c r="G10" s="14"/>
      <c r="H10" s="14"/>
      <c r="I10" s="14"/>
    </row>
    <row r="11" customFormat="false" ht="22.05" hidden="false" customHeight="false" outlineLevel="0" collapsed="false">
      <c r="B11" s="15" t="s">
        <v>1</v>
      </c>
      <c r="C11" s="15" t="s">
        <v>2</v>
      </c>
      <c r="D11" s="15" t="s">
        <v>3</v>
      </c>
      <c r="E11" s="15" t="s">
        <v>4</v>
      </c>
      <c r="F11" s="15" t="s">
        <v>5</v>
      </c>
      <c r="G11" s="15" t="s">
        <v>6</v>
      </c>
      <c r="H11" s="26" t="s">
        <v>7</v>
      </c>
      <c r="I11" s="15" t="s">
        <v>8</v>
      </c>
      <c r="J11" s="26" t="s">
        <v>9</v>
      </c>
      <c r="K11" s="15" t="s">
        <v>25</v>
      </c>
      <c r="L11" s="15" t="s">
        <v>26</v>
      </c>
      <c r="M11" s="15" t="s">
        <v>27</v>
      </c>
      <c r="N11" s="26" t="s">
        <v>28</v>
      </c>
      <c r="O11" s="26" t="s">
        <v>29</v>
      </c>
      <c r="P11" s="16" t="s">
        <v>10</v>
      </c>
      <c r="Q11" s="16" t="s">
        <v>11</v>
      </c>
      <c r="R11" s="17" t="s">
        <v>12</v>
      </c>
      <c r="S11" s="17" t="s">
        <v>13</v>
      </c>
    </row>
    <row r="12" customFormat="false" ht="22.05" hidden="false" customHeight="false" outlineLevel="0" collapsed="false">
      <c r="A12" s="13" t="s">
        <v>14</v>
      </c>
      <c r="B12" s="15" t="n">
        <v>29</v>
      </c>
      <c r="C12" s="15" t="n">
        <v>33</v>
      </c>
      <c r="D12" s="15" t="n">
        <v>24</v>
      </c>
      <c r="E12" s="15" t="n">
        <v>35</v>
      </c>
      <c r="F12" s="15" t="n">
        <v>40</v>
      </c>
      <c r="G12" s="15" t="n">
        <v>30</v>
      </c>
      <c r="H12" s="26" t="s">
        <v>19</v>
      </c>
      <c r="I12" s="15" t="n">
        <v>36</v>
      </c>
      <c r="J12" s="26" t="s">
        <v>19</v>
      </c>
      <c r="K12" s="15" t="n">
        <v>18</v>
      </c>
      <c r="L12" s="15" t="n">
        <v>41</v>
      </c>
      <c r="M12" s="15" t="n">
        <v>36</v>
      </c>
      <c r="N12" s="26" t="s">
        <v>19</v>
      </c>
      <c r="O12" s="26" t="s">
        <v>19</v>
      </c>
      <c r="P12" s="22" t="n">
        <f aca="false">AVERAGE(B12:O12)</f>
        <v>32.2</v>
      </c>
      <c r="Q12" s="22" t="n">
        <f aca="false">STDEV(B12:O12)/SQRT(14)</f>
        <v>1.9098740920854</v>
      </c>
      <c r="R12" s="19" t="n">
        <f aca="false">P12/$P$12</f>
        <v>1</v>
      </c>
      <c r="S12" s="19" t="n">
        <f aca="false">Q12/$P$12</f>
        <v>0.0593128600026523</v>
      </c>
    </row>
    <row r="13" customFormat="false" ht="22.05" hidden="false" customHeight="false" outlineLevel="0" collapsed="false">
      <c r="A13" s="13" t="s">
        <v>15</v>
      </c>
      <c r="B13" s="15" t="n">
        <v>30</v>
      </c>
      <c r="C13" s="15" t="n">
        <v>20</v>
      </c>
      <c r="D13" s="15" t="n">
        <v>37</v>
      </c>
      <c r="E13" s="15" t="n">
        <v>33</v>
      </c>
      <c r="F13" s="15" t="n">
        <v>34</v>
      </c>
      <c r="G13" s="15" t="n">
        <v>28</v>
      </c>
      <c r="H13" s="26" t="s">
        <v>19</v>
      </c>
      <c r="I13" s="15" t="n">
        <v>27</v>
      </c>
      <c r="J13" s="26" t="s">
        <v>19</v>
      </c>
      <c r="K13" s="15" t="n">
        <v>25</v>
      </c>
      <c r="L13" s="15" t="n">
        <v>40</v>
      </c>
      <c r="M13" s="15" t="n">
        <v>34</v>
      </c>
      <c r="N13" s="26" t="s">
        <v>19</v>
      </c>
      <c r="O13" s="26" t="s">
        <v>19</v>
      </c>
      <c r="P13" s="22" t="n">
        <f aca="false">AVERAGE(B13:O13)</f>
        <v>30.8</v>
      </c>
      <c r="Q13" s="22" t="n">
        <f aca="false">STDEV(B13:O13)/SQRT(14)</f>
        <v>1.59761727343596</v>
      </c>
      <c r="R13" s="19" t="n">
        <f aca="false">P13/$P$12</f>
        <v>0.956521739130435</v>
      </c>
      <c r="S13" s="19" t="n">
        <f aca="false">Q13/$P$12</f>
        <v>0.0496154432744087</v>
      </c>
    </row>
    <row r="14" customFormat="false" ht="22.05" hidden="false" customHeight="false" outlineLevel="0" collapsed="false">
      <c r="A14" s="13" t="s">
        <v>16</v>
      </c>
      <c r="B14" s="15" t="n">
        <v>30</v>
      </c>
      <c r="C14" s="15" t="n">
        <v>21</v>
      </c>
      <c r="D14" s="15" t="n">
        <v>25</v>
      </c>
      <c r="E14" s="15" t="n">
        <v>40</v>
      </c>
      <c r="F14" s="15" t="n">
        <v>30</v>
      </c>
      <c r="G14" s="15" t="n">
        <v>43</v>
      </c>
      <c r="H14" s="26" t="s">
        <v>19</v>
      </c>
      <c r="I14" s="15" t="n">
        <v>23</v>
      </c>
      <c r="J14" s="26" t="s">
        <v>19</v>
      </c>
      <c r="K14" s="15" t="n">
        <v>26</v>
      </c>
      <c r="L14" s="15" t="n">
        <v>37</v>
      </c>
      <c r="M14" s="15" t="n">
        <v>32</v>
      </c>
      <c r="N14" s="26" t="s">
        <v>19</v>
      </c>
      <c r="O14" s="26" t="s">
        <v>19</v>
      </c>
      <c r="P14" s="22" t="n">
        <f aca="false">AVERAGE(B14:O14)</f>
        <v>30.7</v>
      </c>
      <c r="Q14" s="22" t="n">
        <f aca="false">STDEV(B14:O14)/SQRT(14)</f>
        <v>1.96819956402026</v>
      </c>
      <c r="R14" s="19" t="n">
        <f aca="false">P14/$P$12</f>
        <v>0.953416149068323</v>
      </c>
      <c r="S14" s="19" t="n">
        <f aca="false">Q14/$P$12</f>
        <v>0.0611242100627408</v>
      </c>
    </row>
    <row r="15" customFormat="false" ht="22.05" hidden="false" customHeight="false" outlineLevel="0" collapsed="false">
      <c r="A15" s="13" t="s">
        <v>17</v>
      </c>
      <c r="B15" s="15" t="n">
        <v>22</v>
      </c>
      <c r="C15" s="15" t="n">
        <v>18</v>
      </c>
      <c r="D15" s="15" t="n">
        <v>19</v>
      </c>
      <c r="E15" s="15" t="n">
        <v>30</v>
      </c>
      <c r="F15" s="15" t="n">
        <v>24</v>
      </c>
      <c r="G15" s="15" t="n">
        <v>39</v>
      </c>
      <c r="H15" s="26" t="s">
        <v>19</v>
      </c>
      <c r="I15" s="15" t="n">
        <v>25</v>
      </c>
      <c r="J15" s="26" t="s">
        <v>19</v>
      </c>
      <c r="K15" s="15" t="n">
        <v>26</v>
      </c>
      <c r="L15" s="15" t="n">
        <v>35</v>
      </c>
      <c r="M15" s="15" t="n">
        <v>30</v>
      </c>
      <c r="N15" s="26" t="s">
        <v>19</v>
      </c>
      <c r="O15" s="26" t="s">
        <v>19</v>
      </c>
      <c r="P15" s="22" t="n">
        <f aca="false">AVERAGE(B15:O15)</f>
        <v>26.8</v>
      </c>
      <c r="Q15" s="22" t="n">
        <f aca="false">STDEV(B15:O15)/SQRT(14)</f>
        <v>1.80299574342084</v>
      </c>
      <c r="R15" s="19" t="n">
        <f aca="false">P15/$P$12</f>
        <v>0.832298136645963</v>
      </c>
      <c r="S15" s="19" t="n">
        <f aca="false">Q15/$P$12</f>
        <v>0.0559936566279763</v>
      </c>
    </row>
    <row r="16" customFormat="false" ht="22.05" hidden="false" customHeight="false" outlineLevel="0" collapsed="false">
      <c r="A16" s="13" t="s">
        <v>18</v>
      </c>
      <c r="B16" s="15" t="n">
        <v>29</v>
      </c>
      <c r="C16" s="15" t="n">
        <v>28</v>
      </c>
      <c r="D16" s="15" t="n">
        <v>25</v>
      </c>
      <c r="E16" s="15" t="n">
        <v>32</v>
      </c>
      <c r="F16" s="15" t="n">
        <v>17</v>
      </c>
      <c r="G16" s="15" t="n">
        <v>36</v>
      </c>
      <c r="H16" s="26" t="s">
        <v>19</v>
      </c>
      <c r="I16" s="15" t="n">
        <v>18</v>
      </c>
      <c r="J16" s="26" t="s">
        <v>19</v>
      </c>
      <c r="K16" s="15" t="n">
        <v>22</v>
      </c>
      <c r="L16" s="15" t="n">
        <v>27</v>
      </c>
      <c r="M16" s="15" t="n">
        <v>26</v>
      </c>
      <c r="N16" s="26" t="s">
        <v>19</v>
      </c>
      <c r="O16" s="26" t="s">
        <v>19</v>
      </c>
      <c r="P16" s="22" t="n">
        <f aca="false">AVERAGE(B16:O16)</f>
        <v>26</v>
      </c>
      <c r="Q16" s="22" t="n">
        <f aca="false">STDEV(B16:O16)/SQRT(14)</f>
        <v>1.57359158493889</v>
      </c>
      <c r="R16" s="19" t="n">
        <f aca="false">P16/$P$12</f>
        <v>0.807453416149068</v>
      </c>
      <c r="S16" s="19" t="n">
        <f aca="false">Q16/$P$12</f>
        <v>0.0488693038800896</v>
      </c>
    </row>
    <row r="17" customFormat="false" ht="22.05" hidden="false" customHeight="false" outlineLevel="0" collapsed="false">
      <c r="A17" s="13" t="s">
        <v>20</v>
      </c>
      <c r="B17" s="15" t="n">
        <v>17</v>
      </c>
      <c r="C17" s="15" t="n">
        <v>31</v>
      </c>
      <c r="D17" s="15" t="n">
        <v>21</v>
      </c>
      <c r="E17" s="15" t="n">
        <v>19</v>
      </c>
      <c r="F17" s="15" t="n">
        <v>26</v>
      </c>
      <c r="G17" s="15" t="n">
        <v>28</v>
      </c>
      <c r="H17" s="26" t="s">
        <v>19</v>
      </c>
      <c r="I17" s="15" t="n">
        <v>24</v>
      </c>
      <c r="J17" s="26" t="s">
        <v>19</v>
      </c>
      <c r="K17" s="15" t="n">
        <v>16</v>
      </c>
      <c r="L17" s="15" t="n">
        <v>30</v>
      </c>
      <c r="M17" s="15" t="n">
        <v>18</v>
      </c>
      <c r="N17" s="26" t="s">
        <v>19</v>
      </c>
      <c r="O17" s="26" t="s">
        <v>19</v>
      </c>
      <c r="P17" s="22" t="n">
        <f aca="false">AVERAGE(B17:O17)</f>
        <v>23</v>
      </c>
      <c r="Q17" s="22" t="n">
        <f aca="false">STDEV(B17:O17)/SQRT(14)</f>
        <v>1.48537847242688</v>
      </c>
      <c r="R17" s="19" t="n">
        <f aca="false">P17/$P$12</f>
        <v>0.714285714285714</v>
      </c>
      <c r="S17" s="19" t="n">
        <f aca="false">Q17/$P$12</f>
        <v>0.0461297662244372</v>
      </c>
    </row>
    <row r="20" customFormat="false" ht="22.05" hidden="false" customHeight="false" outlineLevel="0" collapsed="false">
      <c r="A20" s="14" t="s">
        <v>39</v>
      </c>
      <c r="B20" s="14"/>
      <c r="C20" s="14"/>
      <c r="D20" s="14"/>
      <c r="E20" s="14"/>
      <c r="F20" s="14"/>
    </row>
    <row r="21" customFormat="false" ht="22.05" hidden="false" customHeight="false" outlineLevel="0" collapsed="false">
      <c r="B21" s="13" t="s">
        <v>1</v>
      </c>
      <c r="C21" s="13" t="s">
        <v>2</v>
      </c>
      <c r="D21" s="13" t="s">
        <v>3</v>
      </c>
      <c r="E21" s="14" t="s">
        <v>10</v>
      </c>
      <c r="F21" s="14" t="s">
        <v>11</v>
      </c>
      <c r="G21" s="17" t="s">
        <v>12</v>
      </c>
      <c r="H21" s="17" t="s">
        <v>13</v>
      </c>
    </row>
    <row r="22" customFormat="false" ht="22.05" hidden="false" customHeight="false" outlineLevel="0" collapsed="false">
      <c r="A22" s="13" t="s">
        <v>14</v>
      </c>
      <c r="B22" s="15" t="n">
        <v>29</v>
      </c>
      <c r="C22" s="13" t="n">
        <v>24</v>
      </c>
      <c r="D22" s="13" t="n">
        <v>26</v>
      </c>
      <c r="E22" s="22" t="n">
        <f aca="false">AVERAGE(B22:D22)</f>
        <v>26.3333333333333</v>
      </c>
      <c r="F22" s="22" t="n">
        <f aca="false">STDEV(B22:D22)/SQRT(3)</f>
        <v>1.45296631451356</v>
      </c>
      <c r="G22" s="19" t="n">
        <f aca="false">E22/$E$22</f>
        <v>1</v>
      </c>
      <c r="H22" s="19" t="n">
        <f aca="false">F22/$E$22</f>
        <v>0.0551759359941858</v>
      </c>
    </row>
    <row r="23" customFormat="false" ht="22.05" hidden="false" customHeight="false" outlineLevel="0" collapsed="false">
      <c r="A23" s="13" t="s">
        <v>15</v>
      </c>
      <c r="B23" s="15" t="n">
        <v>23</v>
      </c>
      <c r="C23" s="13" t="n">
        <v>32</v>
      </c>
      <c r="D23" s="13" t="n">
        <v>31</v>
      </c>
      <c r="E23" s="22" t="n">
        <f aca="false">AVERAGE(B23:D23)</f>
        <v>28.6666666666667</v>
      </c>
      <c r="F23" s="22" t="n">
        <f aca="false">STDEV(B23:D23)/SQRT(3)</f>
        <v>2.84800124843918</v>
      </c>
      <c r="G23" s="19" t="n">
        <f aca="false">E23/$E$22</f>
        <v>1.08860759493671</v>
      </c>
      <c r="H23" s="19" t="n">
        <f aca="false">F23/$E$22</f>
        <v>0.10815194614326</v>
      </c>
    </row>
    <row r="24" customFormat="false" ht="22.05" hidden="false" customHeight="false" outlineLevel="0" collapsed="false">
      <c r="A24" s="13" t="s">
        <v>16</v>
      </c>
      <c r="B24" s="15" t="n">
        <v>33</v>
      </c>
      <c r="C24" s="13" t="n">
        <v>20</v>
      </c>
      <c r="D24" s="13" t="n">
        <v>23</v>
      </c>
      <c r="E24" s="22" t="n">
        <f aca="false">AVERAGE(B24:D24)</f>
        <v>25.3333333333333</v>
      </c>
      <c r="F24" s="22" t="n">
        <f aca="false">STDEV(B24:D24)/SQRT(3)</f>
        <v>3.92994204085053</v>
      </c>
      <c r="G24" s="19" t="n">
        <f aca="false">E24/$E$22</f>
        <v>0.962025316455696</v>
      </c>
      <c r="H24" s="19" t="n">
        <f aca="false">F24/$E$22</f>
        <v>0.149238305348754</v>
      </c>
    </row>
    <row r="25" customFormat="false" ht="22.05" hidden="false" customHeight="false" outlineLevel="0" collapsed="false">
      <c r="A25" s="13" t="s">
        <v>17</v>
      </c>
      <c r="B25" s="15" t="n">
        <v>27</v>
      </c>
      <c r="C25" s="15" t="n">
        <v>23</v>
      </c>
      <c r="D25" s="13" t="n">
        <v>28</v>
      </c>
      <c r="E25" s="22" t="n">
        <f aca="false">AVERAGE(B25:D25)</f>
        <v>26</v>
      </c>
      <c r="F25" s="22" t="n">
        <f aca="false">STDEV(B25:D25)/SQRT(3)</f>
        <v>1.52752523165195</v>
      </c>
      <c r="G25" s="19" t="n">
        <f aca="false">E25/$E$22</f>
        <v>0.987341772151899</v>
      </c>
      <c r="H25" s="19" t="n">
        <f aca="false">F25/$E$22</f>
        <v>0.058007287277922</v>
      </c>
    </row>
    <row r="26" customFormat="false" ht="22.05" hidden="false" customHeight="false" outlineLevel="0" collapsed="false">
      <c r="A26" s="13" t="s">
        <v>18</v>
      </c>
      <c r="B26" s="15" t="n">
        <v>25</v>
      </c>
      <c r="C26" s="15" t="n">
        <v>24</v>
      </c>
      <c r="D26" s="13" t="n">
        <v>22</v>
      </c>
      <c r="E26" s="22" t="n">
        <f aca="false">AVERAGE(B26:D26)</f>
        <v>23.6666666666667</v>
      </c>
      <c r="F26" s="22" t="n">
        <f aca="false">STDEV(B26:D26)/SQRT(3)</f>
        <v>0.881917103688197</v>
      </c>
      <c r="G26" s="19" t="n">
        <f aca="false">E26/$E$22</f>
        <v>0.89873417721519</v>
      </c>
      <c r="H26" s="19" t="n">
        <f aca="false">F26/$E$22</f>
        <v>0.0334905229248682</v>
      </c>
    </row>
    <row r="27" customFormat="false" ht="22.05" hidden="false" customHeight="false" outlineLevel="0" collapsed="false">
      <c r="A27" s="13" t="s">
        <v>20</v>
      </c>
      <c r="B27" s="20" t="s">
        <v>19</v>
      </c>
      <c r="C27" s="20" t="s">
        <v>19</v>
      </c>
      <c r="D27" s="20" t="s">
        <v>19</v>
      </c>
      <c r="E27" s="22" t="e">
        <f aca="false">AVERAGE(B27:D27)</f>
        <v>#DIV/0!</v>
      </c>
      <c r="F27" s="22" t="e">
        <f aca="false">STDEV(B27:D27)/SQRT(3)</f>
        <v>#DIV/0!</v>
      </c>
      <c r="G27" s="19" t="e">
        <f aca="false">E27/$E$22</f>
        <v>#DIV/0!</v>
      </c>
      <c r="H27" s="19" t="e">
        <f aca="false">F27/$E$22</f>
        <v>#DIV/0!</v>
      </c>
    </row>
    <row r="28" customFormat="false" ht="22.05" hidden="false" customHeight="false" outlineLevel="0" collapsed="false">
      <c r="T28" s="15"/>
    </row>
    <row r="29" customFormat="false" ht="22.05" hidden="false" customHeight="false" outlineLevel="0" collapsed="false">
      <c r="A29" s="14" t="s">
        <v>40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T29" s="15"/>
    </row>
    <row r="30" customFormat="false" ht="22.05" hidden="false" customHeight="false" outlineLevel="0" collapsed="false">
      <c r="B30" s="15" t="s">
        <v>1</v>
      </c>
      <c r="C30" s="26" t="s">
        <v>2</v>
      </c>
      <c r="D30" s="26" t="s">
        <v>3</v>
      </c>
      <c r="E30" s="15" t="s">
        <v>4</v>
      </c>
      <c r="F30" s="26" t="s">
        <v>5</v>
      </c>
      <c r="G30" s="15" t="s">
        <v>6</v>
      </c>
      <c r="H30" s="15" t="s">
        <v>7</v>
      </c>
      <c r="I30" s="15" t="s">
        <v>8</v>
      </c>
      <c r="J30" s="15" t="s">
        <v>9</v>
      </c>
      <c r="K30" s="13" t="s">
        <v>25</v>
      </c>
      <c r="L30" s="26" t="s">
        <v>26</v>
      </c>
      <c r="M30" s="13" t="s">
        <v>27</v>
      </c>
      <c r="N30" s="26" t="s">
        <v>28</v>
      </c>
      <c r="O30" s="13" t="s">
        <v>29</v>
      </c>
      <c r="P30" s="14" t="s">
        <v>10</v>
      </c>
      <c r="Q30" s="14" t="s">
        <v>11</v>
      </c>
      <c r="R30" s="17" t="s">
        <v>12</v>
      </c>
      <c r="S30" s="17" t="s">
        <v>13</v>
      </c>
      <c r="T30" s="16"/>
    </row>
    <row r="31" customFormat="false" ht="22.05" hidden="false" customHeight="false" outlineLevel="0" collapsed="false">
      <c r="A31" s="13" t="s">
        <v>14</v>
      </c>
      <c r="B31" s="15" t="n">
        <v>45</v>
      </c>
      <c r="C31" s="26" t="s">
        <v>19</v>
      </c>
      <c r="D31" s="26" t="s">
        <v>19</v>
      </c>
      <c r="E31" s="15" t="n">
        <v>30</v>
      </c>
      <c r="F31" s="26" t="s">
        <v>19</v>
      </c>
      <c r="G31" s="15" t="n">
        <v>37</v>
      </c>
      <c r="H31" s="15" t="n">
        <v>40</v>
      </c>
      <c r="I31" s="15" t="n">
        <v>37</v>
      </c>
      <c r="J31" s="15" t="n">
        <v>42</v>
      </c>
      <c r="K31" s="15" t="n">
        <v>39</v>
      </c>
      <c r="L31" s="26" t="s">
        <v>19</v>
      </c>
      <c r="M31" s="15" t="n">
        <v>35</v>
      </c>
      <c r="N31" s="26" t="s">
        <v>19</v>
      </c>
      <c r="O31" s="15" t="n">
        <v>29</v>
      </c>
      <c r="P31" s="22" t="n">
        <f aca="false">AVERAGE(A31:O31)</f>
        <v>37.1111111111111</v>
      </c>
      <c r="Q31" s="22" t="n">
        <f aca="false">STDEV(A31:O31)/SQRT(14)</f>
        <v>1.39798607981806</v>
      </c>
      <c r="R31" s="19" t="n">
        <f aca="false">P31/$P$31</f>
        <v>1</v>
      </c>
      <c r="S31" s="19" t="n">
        <f aca="false">Q31/$P$31</f>
        <v>0.0376702835879119</v>
      </c>
      <c r="T31" s="25"/>
    </row>
    <row r="32" customFormat="false" ht="22.05" hidden="false" customHeight="false" outlineLevel="0" collapsed="false">
      <c r="A32" s="13" t="s">
        <v>15</v>
      </c>
      <c r="B32" s="15" t="n">
        <v>36</v>
      </c>
      <c r="C32" s="26" t="s">
        <v>19</v>
      </c>
      <c r="D32" s="26" t="s">
        <v>19</v>
      </c>
      <c r="E32" s="15" t="n">
        <v>30</v>
      </c>
      <c r="F32" s="26" t="s">
        <v>19</v>
      </c>
      <c r="G32" s="15" t="n">
        <v>34</v>
      </c>
      <c r="H32" s="15" t="n">
        <v>40</v>
      </c>
      <c r="I32" s="15" t="n">
        <v>37</v>
      </c>
      <c r="J32" s="15" t="n">
        <v>28</v>
      </c>
      <c r="K32" s="15" t="n">
        <v>37</v>
      </c>
      <c r="L32" s="26" t="s">
        <v>19</v>
      </c>
      <c r="M32" s="15" t="n">
        <v>35</v>
      </c>
      <c r="N32" s="26" t="s">
        <v>19</v>
      </c>
      <c r="O32" s="15" t="n">
        <v>33</v>
      </c>
      <c r="P32" s="22" t="n">
        <f aca="false">AVERAGE(A32:O32)</f>
        <v>34.4444444444444</v>
      </c>
      <c r="Q32" s="22" t="n">
        <f aca="false">STDEV(A32:O32)/SQRT(14)</f>
        <v>0.992031745523793</v>
      </c>
      <c r="R32" s="19" t="n">
        <f aca="false">P32/$P$31</f>
        <v>0.92814371257485</v>
      </c>
      <c r="S32" s="19" t="n">
        <f aca="false">Q32/$P$31</f>
        <v>0.0267313943404615</v>
      </c>
      <c r="T32" s="25"/>
    </row>
    <row r="33" customFormat="false" ht="22.05" hidden="false" customHeight="false" outlineLevel="0" collapsed="false">
      <c r="A33" s="13" t="s">
        <v>16</v>
      </c>
      <c r="B33" s="15" t="n">
        <v>39</v>
      </c>
      <c r="C33" s="26" t="s">
        <v>19</v>
      </c>
      <c r="D33" s="26" t="s">
        <v>19</v>
      </c>
      <c r="E33" s="15" t="n">
        <v>29</v>
      </c>
      <c r="F33" s="26" t="s">
        <v>19</v>
      </c>
      <c r="G33" s="15" t="n">
        <v>32</v>
      </c>
      <c r="H33" s="15" t="n">
        <v>34</v>
      </c>
      <c r="I33" s="15" t="n">
        <v>22</v>
      </c>
      <c r="J33" s="15" t="n">
        <v>35</v>
      </c>
      <c r="K33" s="15" t="n">
        <v>31</v>
      </c>
      <c r="L33" s="26" t="s">
        <v>19</v>
      </c>
      <c r="M33" s="15" t="n">
        <v>32</v>
      </c>
      <c r="N33" s="26" t="s">
        <v>19</v>
      </c>
      <c r="O33" s="15" t="n">
        <v>34</v>
      </c>
      <c r="P33" s="22" t="n">
        <f aca="false">AVERAGE(A33:O33)</f>
        <v>32</v>
      </c>
      <c r="Q33" s="22" t="n">
        <f aca="false">STDEV(A33:O33)/SQRT(14)</f>
        <v>1.25356634105602</v>
      </c>
      <c r="R33" s="19" t="n">
        <f aca="false">P33/$P$31</f>
        <v>0.862275449101796</v>
      </c>
      <c r="S33" s="19" t="n">
        <f aca="false">Q33/$P$31</f>
        <v>0.0337787337410304</v>
      </c>
      <c r="T33" s="25"/>
    </row>
    <row r="34" customFormat="false" ht="22.05" hidden="false" customHeight="false" outlineLevel="0" collapsed="false">
      <c r="A34" s="13" t="s">
        <v>17</v>
      </c>
      <c r="B34" s="15" t="n">
        <v>30</v>
      </c>
      <c r="C34" s="26" t="s">
        <v>19</v>
      </c>
      <c r="D34" s="26" t="s">
        <v>19</v>
      </c>
      <c r="E34" s="15" t="n">
        <v>26</v>
      </c>
      <c r="F34" s="26" t="s">
        <v>19</v>
      </c>
      <c r="G34" s="15" t="n">
        <v>32</v>
      </c>
      <c r="H34" s="15" t="n">
        <v>21</v>
      </c>
      <c r="I34" s="15" t="n">
        <v>23</v>
      </c>
      <c r="J34" s="15" t="n">
        <v>35</v>
      </c>
      <c r="K34" s="15" t="n">
        <v>37</v>
      </c>
      <c r="L34" s="26" t="s">
        <v>19</v>
      </c>
      <c r="M34" s="15" t="n">
        <v>31</v>
      </c>
      <c r="N34" s="26" t="s">
        <v>19</v>
      </c>
      <c r="O34" s="15" t="n">
        <v>32</v>
      </c>
      <c r="P34" s="22" t="n">
        <f aca="false">AVERAGE(A34:O34)</f>
        <v>29.6666666666667</v>
      </c>
      <c r="Q34" s="22" t="n">
        <f aca="false">STDEV(A34:O34)/SQRT(14)</f>
        <v>1.42678459681701</v>
      </c>
      <c r="R34" s="19" t="n">
        <f aca="false">P34/$P$31</f>
        <v>0.79940119760479</v>
      </c>
      <c r="S34" s="19" t="n">
        <f aca="false">Q34/$P$31</f>
        <v>0.0384462915309973</v>
      </c>
      <c r="T34" s="25"/>
    </row>
    <row r="35" customFormat="false" ht="22.05" hidden="false" customHeight="false" outlineLevel="0" collapsed="false">
      <c r="A35" s="13" t="s">
        <v>18</v>
      </c>
      <c r="B35" s="15" t="n">
        <v>29</v>
      </c>
      <c r="C35" s="26" t="s">
        <v>19</v>
      </c>
      <c r="D35" s="26" t="s">
        <v>19</v>
      </c>
      <c r="E35" s="15" t="n">
        <v>26</v>
      </c>
      <c r="F35" s="26" t="s">
        <v>19</v>
      </c>
      <c r="G35" s="15" t="n">
        <v>19</v>
      </c>
      <c r="H35" s="15" t="n">
        <v>18</v>
      </c>
      <c r="I35" s="15" t="n">
        <v>24</v>
      </c>
      <c r="J35" s="15" t="n">
        <v>25</v>
      </c>
      <c r="K35" s="15" t="n">
        <v>26</v>
      </c>
      <c r="L35" s="26" t="s">
        <v>19</v>
      </c>
      <c r="M35" s="15" t="n">
        <v>23</v>
      </c>
      <c r="N35" s="26" t="s">
        <v>19</v>
      </c>
      <c r="O35" s="15" t="n">
        <v>31</v>
      </c>
      <c r="P35" s="22" t="n">
        <f aca="false">AVERAGE(A35:O35)</f>
        <v>24.5555555555556</v>
      </c>
      <c r="Q35" s="22" t="n">
        <f aca="false">STDEV(A35:O35)/SQRT(14)</f>
        <v>1.12687233963802</v>
      </c>
      <c r="R35" s="19" t="n">
        <f aca="false">P35/$P$31</f>
        <v>0.661676646706587</v>
      </c>
      <c r="S35" s="19" t="n">
        <f aca="false">Q35/$P$31</f>
        <v>0.0303648235231802</v>
      </c>
      <c r="T35" s="25"/>
    </row>
    <row r="36" customFormat="false" ht="22.05" hidden="false" customHeight="false" outlineLevel="0" collapsed="false">
      <c r="A36" s="13" t="s">
        <v>20</v>
      </c>
      <c r="B36" s="15" t="n">
        <v>25</v>
      </c>
      <c r="C36" s="26" t="s">
        <v>19</v>
      </c>
      <c r="D36" s="26" t="s">
        <v>19</v>
      </c>
      <c r="E36" s="15" t="n">
        <v>15</v>
      </c>
      <c r="F36" s="26" t="s">
        <v>19</v>
      </c>
      <c r="G36" s="15" t="n">
        <v>17</v>
      </c>
      <c r="H36" s="15" t="n">
        <v>15</v>
      </c>
      <c r="I36" s="15" t="n">
        <v>13</v>
      </c>
      <c r="J36" s="15" t="n">
        <v>22</v>
      </c>
      <c r="K36" s="15" t="n">
        <v>25</v>
      </c>
      <c r="L36" s="26" t="s">
        <v>19</v>
      </c>
      <c r="M36" s="15" t="n">
        <v>27</v>
      </c>
      <c r="N36" s="26" t="s">
        <v>19</v>
      </c>
      <c r="O36" s="15" t="n">
        <v>26</v>
      </c>
      <c r="P36" s="22" t="n">
        <f aca="false">AVERAGE(A36:O36)</f>
        <v>20.5555555555556</v>
      </c>
      <c r="Q36" s="22" t="n">
        <f aca="false">STDEV(A36:O36)/SQRT(14)</f>
        <v>1.47667042888911</v>
      </c>
      <c r="R36" s="19" t="n">
        <f aca="false">P36/$P$31</f>
        <v>0.553892215568862</v>
      </c>
      <c r="S36" s="19" t="n">
        <f aca="false">Q36/$P$31</f>
        <v>0.0397905205389282</v>
      </c>
      <c r="T36" s="25"/>
    </row>
    <row r="37" customFormat="false" ht="22.05" hidden="false" customHeight="false" outlineLevel="0" collapsed="false">
      <c r="C37" s="15"/>
      <c r="D37" s="15"/>
      <c r="E37" s="15"/>
      <c r="F37" s="15"/>
      <c r="G37" s="15"/>
      <c r="H37" s="15"/>
    </row>
  </sheetData>
  <mergeCells count="4">
    <mergeCell ref="A1:Q1"/>
    <mergeCell ref="A10:I10"/>
    <mergeCell ref="A20:F20"/>
    <mergeCell ref="A29:P29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69" colorId="64" zoomScale="90" zoomScaleNormal="90" zoomScalePageLayoutView="100" workbookViewId="0">
      <selection pane="topLeft" activeCell="A85" activeCellId="0" sqref="A85"/>
    </sheetView>
  </sheetViews>
  <sheetFormatPr defaultColWidth="11.53515625" defaultRowHeight="22.05" customHeight="true" zeroHeight="false" outlineLevelRow="0" outlineLevelCol="0"/>
  <cols>
    <col collapsed="false" customWidth="true" hidden="false" outlineLevel="0" max="1" min="1" style="5" width="62.76"/>
    <col collapsed="false" customWidth="true" hidden="false" outlineLevel="0" max="5" min="2" style="15" width="14.68"/>
    <col collapsed="false" customWidth="true" hidden="false" outlineLevel="0" max="6" min="6" style="15" width="16.69"/>
    <col collapsed="false" customWidth="true" hidden="false" outlineLevel="0" max="7" min="7" style="15" width="19.25"/>
    <col collapsed="false" customWidth="false" hidden="false" outlineLevel="0" max="8" min="8" style="5" width="11.53"/>
    <col collapsed="false" customWidth="false" hidden="false" outlineLevel="0" max="16384" min="9" style="27" width="11.53"/>
  </cols>
  <sheetData>
    <row r="1" customFormat="false" ht="22.05" hidden="false" customHeight="false" outlineLevel="0" collapsed="false">
      <c r="A1" s="3" t="s">
        <v>41</v>
      </c>
    </row>
    <row r="2" customFormat="false" ht="22.05" hidden="false" customHeight="false" outlineLevel="0" collapsed="false">
      <c r="B2" s="16" t="s">
        <v>14</v>
      </c>
      <c r="C2" s="16" t="s">
        <v>15</v>
      </c>
      <c r="D2" s="16" t="n">
        <v>0.5</v>
      </c>
      <c r="E2" s="16" t="n">
        <v>1.5</v>
      </c>
      <c r="F2" s="16" t="n">
        <v>7</v>
      </c>
      <c r="G2" s="16" t="n">
        <v>24</v>
      </c>
      <c r="H2" s="16"/>
    </row>
    <row r="3" customFormat="false" ht="22.05" hidden="false" customHeight="false" outlineLevel="0" collapsed="false">
      <c r="A3" s="28" t="s">
        <v>23</v>
      </c>
      <c r="B3" s="29" t="n">
        <v>100</v>
      </c>
      <c r="C3" s="29" t="n">
        <v>98.67</v>
      </c>
      <c r="D3" s="29" t="n">
        <v>104</v>
      </c>
      <c r="E3" s="29" t="n">
        <v>92</v>
      </c>
      <c r="F3" s="29" t="n">
        <v>100.67</v>
      </c>
      <c r="G3" s="29" t="n">
        <v>105</v>
      </c>
      <c r="I3" s="27" t="s">
        <v>42</v>
      </c>
      <c r="J3" s="27" t="n">
        <v>0.0001</v>
      </c>
    </row>
    <row r="4" customFormat="false" ht="22.05" hidden="false" customHeight="false" outlineLevel="0" collapsed="false">
      <c r="A4" s="28" t="s">
        <v>43</v>
      </c>
      <c r="B4" s="29" t="n">
        <v>4.08</v>
      </c>
      <c r="C4" s="29" t="n">
        <v>5.01</v>
      </c>
      <c r="D4" s="29" t="n">
        <v>7.77</v>
      </c>
      <c r="E4" s="29" t="n">
        <v>5.44</v>
      </c>
      <c r="F4" s="29" t="n">
        <v>2.87</v>
      </c>
      <c r="G4" s="29" t="n">
        <v>1.92</v>
      </c>
      <c r="I4" s="27" t="s">
        <v>44</v>
      </c>
      <c r="J4" s="27" t="n">
        <v>0.001</v>
      </c>
    </row>
    <row r="5" customFormat="false" ht="22.05" hidden="false" customHeight="false" outlineLevel="0" collapsed="false">
      <c r="A5" s="28"/>
      <c r="I5" s="27" t="s">
        <v>45</v>
      </c>
      <c r="J5" s="27" t="n">
        <v>0.01</v>
      </c>
    </row>
    <row r="6" customFormat="false" ht="22.05" hidden="false" customHeight="false" outlineLevel="0" collapsed="false">
      <c r="A6" s="28"/>
      <c r="I6" s="27" t="s">
        <v>46</v>
      </c>
      <c r="J6" s="27" t="n">
        <v>0.05</v>
      </c>
    </row>
    <row r="7" customFormat="false" ht="22.05" hidden="false" customHeight="false" outlineLevel="0" collapsed="false">
      <c r="A7" s="28" t="s">
        <v>21</v>
      </c>
      <c r="B7" s="29" t="n">
        <v>100</v>
      </c>
      <c r="C7" s="29" t="n">
        <v>93.88</v>
      </c>
      <c r="D7" s="29" t="n">
        <v>98.98</v>
      </c>
      <c r="E7" s="29" t="n">
        <v>103.06</v>
      </c>
      <c r="F7" s="29" t="n">
        <v>98.98</v>
      </c>
      <c r="G7" s="29" t="n">
        <v>105.61</v>
      </c>
      <c r="H7" s="30"/>
      <c r="I7" s="27" t="s">
        <v>47</v>
      </c>
      <c r="J7" s="31" t="s">
        <v>48</v>
      </c>
    </row>
    <row r="8" customFormat="false" ht="22.05" hidden="false" customHeight="false" outlineLevel="0" collapsed="false">
      <c r="A8" s="28" t="s">
        <v>49</v>
      </c>
      <c r="B8" s="29" t="n">
        <v>12.03</v>
      </c>
      <c r="C8" s="29" t="n">
        <v>10.8</v>
      </c>
      <c r="D8" s="29" t="n">
        <v>16.8</v>
      </c>
      <c r="E8" s="29" t="n">
        <v>15.24</v>
      </c>
      <c r="F8" s="29" t="n">
        <v>9.73</v>
      </c>
      <c r="G8" s="29" t="n">
        <v>3.75</v>
      </c>
      <c r="H8" s="30"/>
    </row>
    <row r="9" customFormat="false" ht="22.05" hidden="false" customHeight="false" outlineLevel="0" collapsed="false">
      <c r="A9" s="28" t="s">
        <v>50</v>
      </c>
      <c r="B9" s="29" t="n">
        <v>1</v>
      </c>
      <c r="C9" s="29" t="n">
        <v>0.715</v>
      </c>
      <c r="D9" s="29" t="n">
        <v>0.804</v>
      </c>
      <c r="E9" s="29" t="n">
        <v>0.55</v>
      </c>
      <c r="F9" s="29" t="n">
        <v>0.88</v>
      </c>
      <c r="G9" s="29" t="n">
        <v>0.901</v>
      </c>
      <c r="H9" s="30"/>
    </row>
    <row r="10" customFormat="false" ht="22.05" hidden="false" customHeight="false" outlineLevel="0" collapsed="false">
      <c r="A10" s="28"/>
      <c r="B10" s="29" t="s">
        <v>47</v>
      </c>
      <c r="C10" s="29" t="s">
        <v>47</v>
      </c>
      <c r="D10" s="29" t="s">
        <v>47</v>
      </c>
      <c r="E10" s="29" t="s">
        <v>47</v>
      </c>
      <c r="F10" s="29" t="s">
        <v>47</v>
      </c>
      <c r="G10" s="29" t="s">
        <v>47</v>
      </c>
      <c r="H10" s="30"/>
    </row>
    <row r="11" customFormat="false" ht="22.05" hidden="false" customHeight="false" outlineLevel="0" collapsed="false">
      <c r="A11" s="28"/>
    </row>
    <row r="12" customFormat="false" ht="22.05" hidden="false" customHeight="false" outlineLevel="0" collapsed="false">
      <c r="A12" s="28" t="s">
        <v>22</v>
      </c>
      <c r="B12" s="29" t="n">
        <v>100</v>
      </c>
      <c r="C12" s="29" t="n">
        <v>91.86</v>
      </c>
      <c r="D12" s="29" t="n">
        <v>91.28</v>
      </c>
      <c r="E12" s="29" t="n">
        <v>94.19</v>
      </c>
      <c r="F12" s="29" t="n">
        <v>96.9</v>
      </c>
      <c r="G12" s="29" t="n">
        <v>82.17</v>
      </c>
      <c r="H12" s="30"/>
    </row>
    <row r="13" customFormat="false" ht="22.05" hidden="false" customHeight="false" outlineLevel="0" collapsed="false">
      <c r="A13" s="28" t="s">
        <v>51</v>
      </c>
      <c r="B13" s="29" t="n">
        <v>10.27</v>
      </c>
      <c r="C13" s="29" t="n">
        <v>10.97</v>
      </c>
      <c r="D13" s="29" t="n">
        <v>8.93</v>
      </c>
      <c r="E13" s="29" t="n">
        <v>4.5</v>
      </c>
      <c r="F13" s="29" t="n">
        <v>4.08</v>
      </c>
      <c r="G13" s="29" t="n">
        <v>3.74</v>
      </c>
      <c r="H13" s="30"/>
    </row>
    <row r="14" customFormat="false" ht="22.05" hidden="false" customHeight="false" outlineLevel="0" collapsed="false">
      <c r="A14" s="28" t="s">
        <v>52</v>
      </c>
      <c r="B14" s="29" t="n">
        <v>1</v>
      </c>
      <c r="C14" s="29" t="n">
        <v>0.601</v>
      </c>
      <c r="D14" s="29" t="n">
        <v>0.32</v>
      </c>
      <c r="E14" s="29" t="n">
        <v>0.765</v>
      </c>
      <c r="F14" s="29" t="n">
        <v>0.492</v>
      </c>
      <c r="G14" s="29" t="n">
        <v>0.01172</v>
      </c>
      <c r="H14" s="30"/>
    </row>
    <row r="15" customFormat="false" ht="22.05" hidden="false" customHeight="false" outlineLevel="0" collapsed="false">
      <c r="A15" s="28"/>
      <c r="B15" s="29" t="s">
        <v>47</v>
      </c>
      <c r="C15" s="29" t="s">
        <v>47</v>
      </c>
      <c r="D15" s="29" t="s">
        <v>47</v>
      </c>
      <c r="E15" s="29" t="s">
        <v>47</v>
      </c>
      <c r="F15" s="29" t="s">
        <v>47</v>
      </c>
      <c r="G15" s="29" t="s">
        <v>45</v>
      </c>
      <c r="H15" s="30"/>
    </row>
    <row r="16" customFormat="false" ht="22.05" hidden="false" customHeight="false" outlineLevel="0" collapsed="false">
      <c r="A16" s="28"/>
    </row>
    <row r="17" customFormat="false" ht="22.05" hidden="false" customHeight="false" outlineLevel="0" collapsed="false">
      <c r="A17" s="28" t="s">
        <v>53</v>
      </c>
      <c r="B17" s="29" t="n">
        <v>100</v>
      </c>
      <c r="C17" s="29" t="n">
        <v>89.49</v>
      </c>
      <c r="D17" s="29" t="n">
        <v>82.8</v>
      </c>
      <c r="E17" s="29" t="n">
        <v>71.02</v>
      </c>
      <c r="F17" s="29" t="n">
        <v>72.37</v>
      </c>
      <c r="G17" s="29" t="n">
        <v>48.73</v>
      </c>
      <c r="H17" s="30"/>
    </row>
    <row r="18" customFormat="false" ht="22.05" hidden="false" customHeight="false" outlineLevel="0" collapsed="false">
      <c r="A18" s="28" t="s">
        <v>54</v>
      </c>
      <c r="B18" s="29" t="n">
        <v>4.03</v>
      </c>
      <c r="C18" s="29" t="n">
        <v>4.72</v>
      </c>
      <c r="D18" s="29" t="n">
        <v>4.34</v>
      </c>
      <c r="E18" s="29" t="n">
        <v>4.36</v>
      </c>
      <c r="F18" s="29" t="n">
        <v>5.27</v>
      </c>
      <c r="G18" s="29" t="n">
        <v>1.28</v>
      </c>
      <c r="H18" s="30"/>
    </row>
    <row r="19" customFormat="false" ht="22.05" hidden="false" customHeight="false" outlineLevel="0" collapsed="false">
      <c r="A19" s="28" t="s">
        <v>55</v>
      </c>
      <c r="B19" s="29" t="n">
        <v>1</v>
      </c>
      <c r="C19" s="29" t="n">
        <v>0.211</v>
      </c>
      <c r="D19" s="29" t="n">
        <v>0.051</v>
      </c>
      <c r="E19" s="29" t="n">
        <v>0.015</v>
      </c>
      <c r="F19" s="29" t="n">
        <v>0.000778</v>
      </c>
      <c r="G19" s="29" t="n">
        <v>3.04E-006</v>
      </c>
      <c r="H19" s="30"/>
    </row>
    <row r="20" customFormat="false" ht="22.05" hidden="false" customHeight="false" outlineLevel="0" collapsed="false">
      <c r="A20" s="28"/>
      <c r="B20" s="29" t="s">
        <v>47</v>
      </c>
      <c r="C20" s="29" t="s">
        <v>47</v>
      </c>
      <c r="D20" s="29" t="s">
        <v>46</v>
      </c>
      <c r="E20" s="29" t="s">
        <v>46</v>
      </c>
      <c r="F20" s="29" t="s">
        <v>44</v>
      </c>
      <c r="G20" s="29" t="s">
        <v>42</v>
      </c>
      <c r="H20" s="30"/>
    </row>
    <row r="21" customFormat="false" ht="22.05" hidden="false" customHeight="false" outlineLevel="0" collapsed="false">
      <c r="A21" s="28"/>
    </row>
    <row r="23" customFormat="false" ht="22.05" hidden="false" customHeight="false" outlineLevel="0" collapsed="false">
      <c r="A23" s="3" t="s">
        <v>56</v>
      </c>
    </row>
    <row r="24" customFormat="false" ht="22.05" hidden="false" customHeight="false" outlineLevel="0" collapsed="false">
      <c r="B24" s="16" t="s">
        <v>14</v>
      </c>
      <c r="C24" s="16" t="s">
        <v>15</v>
      </c>
      <c r="D24" s="16" t="n">
        <v>0.5</v>
      </c>
      <c r="E24" s="16" t="n">
        <v>1.5</v>
      </c>
      <c r="F24" s="16" t="n">
        <v>7</v>
      </c>
      <c r="G24" s="16" t="n">
        <v>24</v>
      </c>
      <c r="H24" s="16"/>
    </row>
    <row r="25" customFormat="false" ht="22.05" hidden="false" customHeight="false" outlineLevel="0" collapsed="false">
      <c r="A25" s="5" t="s">
        <v>23</v>
      </c>
      <c r="B25" s="29" t="n">
        <v>100</v>
      </c>
      <c r="C25" s="29" t="n">
        <v>98.67</v>
      </c>
      <c r="D25" s="29" t="n">
        <v>104</v>
      </c>
      <c r="E25" s="29" t="n">
        <v>92</v>
      </c>
      <c r="F25" s="29" t="n">
        <v>100.67</v>
      </c>
      <c r="G25" s="29" t="n">
        <v>105</v>
      </c>
    </row>
    <row r="26" customFormat="false" ht="22.05" hidden="false" customHeight="false" outlineLevel="0" collapsed="false">
      <c r="A26" s="5" t="s">
        <v>43</v>
      </c>
      <c r="B26" s="29" t="n">
        <v>4.08</v>
      </c>
      <c r="C26" s="29" t="n">
        <v>5.01</v>
      </c>
      <c r="D26" s="29" t="n">
        <v>7.77</v>
      </c>
      <c r="E26" s="29" t="n">
        <v>5.44</v>
      </c>
      <c r="F26" s="29" t="n">
        <v>2.87</v>
      </c>
      <c r="G26" s="29" t="n">
        <v>1.92</v>
      </c>
    </row>
    <row r="29" customFormat="false" ht="22.05" hidden="false" customHeight="false" outlineLevel="0" collapsed="false">
      <c r="A29" s="5" t="s">
        <v>21</v>
      </c>
      <c r="B29" s="29" t="n">
        <v>100</v>
      </c>
      <c r="C29" s="29" t="n">
        <v>93.88</v>
      </c>
      <c r="D29" s="29" t="n">
        <v>98.98</v>
      </c>
      <c r="E29" s="29" t="n">
        <v>103.06</v>
      </c>
      <c r="F29" s="29" t="n">
        <v>98.98</v>
      </c>
      <c r="G29" s="29" t="n">
        <v>105.61</v>
      </c>
    </row>
    <row r="30" customFormat="false" ht="22.05" hidden="false" customHeight="false" outlineLevel="0" collapsed="false">
      <c r="A30" s="5" t="s">
        <v>49</v>
      </c>
      <c r="B30" s="29" t="n">
        <v>12.03</v>
      </c>
      <c r="C30" s="29" t="n">
        <v>10.8</v>
      </c>
      <c r="D30" s="29" t="n">
        <v>16.8</v>
      </c>
      <c r="E30" s="29" t="n">
        <v>15.24</v>
      </c>
      <c r="F30" s="29" t="n">
        <v>9.73</v>
      </c>
      <c r="G30" s="29" t="n">
        <v>3.75</v>
      </c>
      <c r="H30" s="30"/>
    </row>
    <row r="31" customFormat="false" ht="22.05" hidden="false" customHeight="false" outlineLevel="0" collapsed="false">
      <c r="A31" s="5" t="s">
        <v>50</v>
      </c>
      <c r="B31" s="29" t="n">
        <v>1</v>
      </c>
      <c r="C31" s="29" t="n">
        <v>0.715</v>
      </c>
      <c r="D31" s="29" t="n">
        <v>0.804</v>
      </c>
      <c r="E31" s="29" t="n">
        <v>0.552</v>
      </c>
      <c r="F31" s="29" t="n">
        <v>0.881</v>
      </c>
      <c r="G31" s="29" t="n">
        <v>0.901</v>
      </c>
      <c r="H31" s="30"/>
    </row>
    <row r="32" customFormat="false" ht="22.05" hidden="false" customHeight="false" outlineLevel="0" collapsed="false">
      <c r="B32" s="29" t="s">
        <v>47</v>
      </c>
      <c r="C32" s="29" t="s">
        <v>47</v>
      </c>
      <c r="D32" s="29" t="s">
        <v>47</v>
      </c>
      <c r="E32" s="29" t="s">
        <v>47</v>
      </c>
      <c r="F32" s="29" t="s">
        <v>47</v>
      </c>
      <c r="G32" s="29" t="s">
        <v>47</v>
      </c>
      <c r="H32" s="30"/>
    </row>
    <row r="34" customFormat="false" ht="22.05" hidden="false" customHeight="false" outlineLevel="0" collapsed="false">
      <c r="A34" s="5" t="s">
        <v>33</v>
      </c>
      <c r="B34" s="29" t="n">
        <v>100</v>
      </c>
      <c r="C34" s="29" t="n">
        <v>104.6</v>
      </c>
      <c r="D34" s="29" t="n">
        <v>106.9</v>
      </c>
      <c r="E34" s="29" t="n">
        <v>108.1</v>
      </c>
      <c r="F34" s="29" t="n">
        <v>101.9</v>
      </c>
      <c r="G34" s="29" t="n">
        <v>98.3</v>
      </c>
      <c r="H34" s="30"/>
    </row>
    <row r="35" customFormat="false" ht="22.05" hidden="false" customHeight="false" outlineLevel="0" collapsed="false">
      <c r="A35" s="5" t="s">
        <v>57</v>
      </c>
      <c r="B35" s="29" t="n">
        <v>7.23</v>
      </c>
      <c r="C35" s="29" t="n">
        <v>10.3</v>
      </c>
      <c r="D35" s="29" t="n">
        <v>10.7</v>
      </c>
      <c r="E35" s="29" t="n">
        <v>8.7</v>
      </c>
      <c r="F35" s="29" t="n">
        <v>4</v>
      </c>
      <c r="G35" s="29" t="n">
        <v>3.7</v>
      </c>
      <c r="H35" s="30"/>
    </row>
    <row r="36" customFormat="false" ht="22.05" hidden="false" customHeight="false" outlineLevel="0" collapsed="false">
      <c r="A36" s="5" t="s">
        <v>58</v>
      </c>
      <c r="B36" s="29" t="n">
        <v>1</v>
      </c>
      <c r="C36" s="29" t="n">
        <v>0.624</v>
      </c>
      <c r="D36" s="29" t="n">
        <v>0.832</v>
      </c>
      <c r="E36" s="29" t="n">
        <v>0.163</v>
      </c>
      <c r="F36" s="29" t="n">
        <v>0.812</v>
      </c>
      <c r="G36" s="29" t="n">
        <v>0.281</v>
      </c>
      <c r="H36" s="30"/>
    </row>
    <row r="37" customFormat="false" ht="22.05" hidden="false" customHeight="false" outlineLevel="0" collapsed="false">
      <c r="B37" s="29" t="s">
        <v>47</v>
      </c>
      <c r="C37" s="29" t="s">
        <v>47</v>
      </c>
      <c r="D37" s="29" t="s">
        <v>47</v>
      </c>
      <c r="E37" s="29" t="s">
        <v>47</v>
      </c>
      <c r="F37" s="29" t="s">
        <v>47</v>
      </c>
      <c r="G37" s="29" t="s">
        <v>47</v>
      </c>
      <c r="H37" s="30"/>
    </row>
    <row r="39" customFormat="false" ht="22.05" hidden="false" customHeight="false" outlineLevel="0" collapsed="false">
      <c r="A39" s="5" t="s">
        <v>59</v>
      </c>
      <c r="B39" s="29" t="n">
        <v>100</v>
      </c>
      <c r="C39" s="29" t="n">
        <v>97.16</v>
      </c>
      <c r="D39" s="29" t="n">
        <v>100.79</v>
      </c>
      <c r="E39" s="29" t="n">
        <v>106.94</v>
      </c>
      <c r="F39" s="29" t="n">
        <v>110.54</v>
      </c>
      <c r="G39" s="29" t="n">
        <v>120.57</v>
      </c>
      <c r="H39" s="30"/>
    </row>
    <row r="40" customFormat="false" ht="22.05" hidden="false" customHeight="false" outlineLevel="0" collapsed="false">
      <c r="A40" s="5" t="s">
        <v>60</v>
      </c>
      <c r="B40" s="29" t="n">
        <v>0.85</v>
      </c>
      <c r="C40" s="29" t="n">
        <v>0.76</v>
      </c>
      <c r="D40" s="29" t="n">
        <v>0.87</v>
      </c>
      <c r="E40" s="29" t="n">
        <v>1.03</v>
      </c>
      <c r="F40" s="29" t="n">
        <v>1.4</v>
      </c>
      <c r="G40" s="29" t="n">
        <v>1.13</v>
      </c>
      <c r="H40" s="30"/>
    </row>
    <row r="41" customFormat="false" ht="22.05" hidden="false" customHeight="false" outlineLevel="0" collapsed="false">
      <c r="A41" s="5" t="s">
        <v>61</v>
      </c>
      <c r="B41" s="29" t="n">
        <v>1</v>
      </c>
      <c r="C41" s="29" t="n">
        <v>0.779</v>
      </c>
      <c r="D41" s="29" t="n">
        <v>0.702</v>
      </c>
      <c r="E41" s="29" t="n">
        <v>0.05</v>
      </c>
      <c r="F41" s="29" t="n">
        <v>0.02</v>
      </c>
      <c r="G41" s="29" t="n">
        <v>0.0002</v>
      </c>
      <c r="H41" s="30"/>
    </row>
    <row r="42" customFormat="false" ht="22.05" hidden="false" customHeight="false" outlineLevel="0" collapsed="false">
      <c r="B42" s="29" t="s">
        <v>47</v>
      </c>
      <c r="C42" s="29" t="s">
        <v>47</v>
      </c>
      <c r="D42" s="29" t="s">
        <v>47</v>
      </c>
      <c r="E42" s="29" t="s">
        <v>46</v>
      </c>
      <c r="F42" s="29" t="s">
        <v>46</v>
      </c>
      <c r="G42" s="29" t="s">
        <v>44</v>
      </c>
      <c r="H42" s="30"/>
    </row>
    <row r="45" customFormat="false" ht="22.05" hidden="false" customHeight="false" outlineLevel="0" collapsed="false">
      <c r="A45" s="3" t="s">
        <v>62</v>
      </c>
    </row>
    <row r="46" customFormat="false" ht="22.05" hidden="false" customHeight="false" outlineLevel="0" collapsed="false">
      <c r="B46" s="16" t="s">
        <v>14</v>
      </c>
      <c r="C46" s="16" t="s">
        <v>15</v>
      </c>
      <c r="D46" s="16" t="n">
        <v>0.5</v>
      </c>
      <c r="E46" s="16" t="n">
        <v>1.5</v>
      </c>
      <c r="F46" s="16" t="n">
        <v>7</v>
      </c>
      <c r="G46" s="16" t="n">
        <v>24</v>
      </c>
      <c r="H46" s="16"/>
    </row>
    <row r="47" customFormat="false" ht="22.05" hidden="false" customHeight="false" outlineLevel="0" collapsed="false">
      <c r="A47" s="5" t="s">
        <v>63</v>
      </c>
      <c r="B47" s="29" t="n">
        <v>100</v>
      </c>
      <c r="C47" s="29" t="n">
        <v>89.49</v>
      </c>
      <c r="D47" s="29" t="n">
        <v>82.8</v>
      </c>
      <c r="E47" s="29" t="n">
        <v>71.02</v>
      </c>
      <c r="F47" s="29" t="n">
        <v>72.37</v>
      </c>
      <c r="G47" s="29" t="n">
        <v>48.73</v>
      </c>
      <c r="H47" s="30"/>
    </row>
    <row r="48" customFormat="false" ht="22.05" hidden="false" customHeight="false" outlineLevel="0" collapsed="false">
      <c r="A48" s="5" t="s">
        <v>64</v>
      </c>
      <c r="B48" s="29" t="n">
        <v>4.03</v>
      </c>
      <c r="C48" s="29" t="n">
        <v>4.72</v>
      </c>
      <c r="D48" s="29" t="n">
        <v>4.34</v>
      </c>
      <c r="E48" s="29" t="n">
        <v>4.36</v>
      </c>
      <c r="F48" s="29" t="n">
        <v>5.27</v>
      </c>
      <c r="G48" s="29" t="n">
        <v>1.28</v>
      </c>
      <c r="H48" s="30"/>
    </row>
    <row r="49" customFormat="false" ht="22.05" hidden="false" customHeight="false" outlineLevel="0" collapsed="false">
      <c r="H49" s="30"/>
    </row>
    <row r="50" customFormat="false" ht="22.05" hidden="false" customHeight="false" outlineLevel="0" collapsed="false">
      <c r="H50" s="30"/>
    </row>
    <row r="51" customFormat="false" ht="22.05" hidden="false" customHeight="false" outlineLevel="0" collapsed="false">
      <c r="A51" s="5" t="s">
        <v>65</v>
      </c>
      <c r="B51" s="29" t="n">
        <v>100</v>
      </c>
      <c r="C51" s="29" t="n">
        <v>91.04</v>
      </c>
      <c r="D51" s="29" t="n">
        <v>76.62</v>
      </c>
      <c r="E51" s="29" t="n">
        <v>81.59</v>
      </c>
      <c r="F51" s="29" t="n">
        <v>70.65</v>
      </c>
      <c r="G51" s="29" t="n">
        <v>0</v>
      </c>
      <c r="H51" s="30"/>
    </row>
    <row r="52" customFormat="false" ht="22.05" hidden="false" customHeight="false" outlineLevel="0" collapsed="false">
      <c r="A52" s="5" t="s">
        <v>66</v>
      </c>
      <c r="B52" s="29" t="n">
        <v>23.27</v>
      </c>
      <c r="C52" s="29" t="n">
        <v>12.28</v>
      </c>
      <c r="D52" s="29" t="n">
        <v>7.51</v>
      </c>
      <c r="E52" s="29" t="n">
        <v>3.11</v>
      </c>
      <c r="F52" s="29" t="n">
        <v>8.22</v>
      </c>
      <c r="G52" s="29" t="n">
        <v>0</v>
      </c>
      <c r="H52" s="30"/>
    </row>
    <row r="53" customFormat="false" ht="22.05" hidden="false" customHeight="false" outlineLevel="0" collapsed="false">
      <c r="A53" s="5" t="s">
        <v>67</v>
      </c>
      <c r="B53" s="29" t="n">
        <v>1</v>
      </c>
      <c r="C53" s="29" t="n">
        <v>0.912</v>
      </c>
      <c r="D53" s="29" t="n">
        <v>0.521</v>
      </c>
      <c r="E53" s="29" t="n">
        <v>0.08</v>
      </c>
      <c r="F53" s="29" t="n">
        <v>0.869</v>
      </c>
      <c r="G53" s="29" t="n">
        <v>0.0007</v>
      </c>
      <c r="H53" s="30"/>
    </row>
    <row r="54" customFormat="false" ht="22.05" hidden="false" customHeight="false" outlineLevel="0" collapsed="false">
      <c r="B54" s="29" t="s">
        <v>47</v>
      </c>
      <c r="C54" s="29" t="s">
        <v>47</v>
      </c>
      <c r="D54" s="29" t="s">
        <v>47</v>
      </c>
      <c r="E54" s="29" t="s">
        <v>47</v>
      </c>
      <c r="F54" s="29" t="s">
        <v>47</v>
      </c>
      <c r="G54" s="29" t="s">
        <v>44</v>
      </c>
      <c r="H54" s="30"/>
    </row>
    <row r="55" customFormat="false" ht="22.05" hidden="false" customHeight="false" outlineLevel="0" collapsed="false">
      <c r="H55" s="30"/>
    </row>
    <row r="56" customFormat="false" ht="22.05" hidden="false" customHeight="false" outlineLevel="0" collapsed="false">
      <c r="A56" s="5" t="s">
        <v>68</v>
      </c>
      <c r="B56" s="29" t="n">
        <v>100</v>
      </c>
      <c r="C56" s="29" t="n">
        <v>108.86</v>
      </c>
      <c r="D56" s="29" t="n">
        <v>96.2</v>
      </c>
      <c r="E56" s="29" t="n">
        <v>97.47</v>
      </c>
      <c r="F56" s="29" t="n">
        <v>89.87</v>
      </c>
      <c r="G56" s="29" t="n">
        <v>0</v>
      </c>
      <c r="H56" s="30"/>
    </row>
    <row r="57" customFormat="false" ht="22.05" hidden="false" customHeight="false" outlineLevel="0" collapsed="false">
      <c r="A57" s="5" t="s">
        <v>69</v>
      </c>
      <c r="B57" s="29" t="n">
        <v>5.52</v>
      </c>
      <c r="C57" s="29" t="n">
        <v>10.82</v>
      </c>
      <c r="D57" s="29" t="n">
        <v>14.92</v>
      </c>
      <c r="E57" s="29" t="n">
        <v>7.05</v>
      </c>
      <c r="F57" s="29" t="n">
        <v>3.35</v>
      </c>
      <c r="G57" s="29" t="n">
        <v>0</v>
      </c>
      <c r="H57" s="30"/>
    </row>
    <row r="58" customFormat="false" ht="22.05" hidden="false" customHeight="false" outlineLevel="0" collapsed="false">
      <c r="A58" s="5" t="s">
        <v>70</v>
      </c>
      <c r="B58" s="29" t="n">
        <v>1</v>
      </c>
      <c r="C58" s="29" t="n">
        <v>0.206</v>
      </c>
      <c r="D58" s="29" t="n">
        <v>0.467</v>
      </c>
      <c r="E58" s="29" t="n">
        <v>0.037</v>
      </c>
      <c r="F58" s="29" t="n">
        <v>0.0211</v>
      </c>
      <c r="G58" s="29" t="n">
        <v>0.0007</v>
      </c>
      <c r="H58" s="30"/>
    </row>
    <row r="59" customFormat="false" ht="22.05" hidden="false" customHeight="false" outlineLevel="0" collapsed="false">
      <c r="B59" s="29" t="s">
        <v>47</v>
      </c>
      <c r="C59" s="29" t="s">
        <v>47</v>
      </c>
      <c r="D59" s="29" t="s">
        <v>47</v>
      </c>
      <c r="E59" s="29" t="s">
        <v>46</v>
      </c>
      <c r="F59" s="29" t="s">
        <v>46</v>
      </c>
      <c r="G59" s="29" t="s">
        <v>44</v>
      </c>
      <c r="H59" s="30"/>
    </row>
    <row r="60" customFormat="false" ht="22.05" hidden="false" customHeight="false" outlineLevel="0" collapsed="false">
      <c r="H60" s="30"/>
    </row>
    <row r="61" customFormat="false" ht="22.05" hidden="false" customHeight="false" outlineLevel="0" collapsed="false">
      <c r="A61" s="5" t="s">
        <v>71</v>
      </c>
      <c r="B61" s="29" t="n">
        <v>100</v>
      </c>
      <c r="C61" s="29" t="n">
        <v>93.16</v>
      </c>
      <c r="D61" s="29" t="n">
        <v>96.84</v>
      </c>
      <c r="E61" s="29" t="n">
        <v>92.63</v>
      </c>
      <c r="F61" s="29" t="n">
        <v>75.79</v>
      </c>
      <c r="G61" s="29" t="n">
        <v>0</v>
      </c>
      <c r="H61" s="30"/>
    </row>
    <row r="62" customFormat="false" ht="22.05" hidden="false" customHeight="false" outlineLevel="0" collapsed="false">
      <c r="A62" s="5" t="s">
        <v>72</v>
      </c>
      <c r="B62" s="29" t="n">
        <v>7.09</v>
      </c>
      <c r="C62" s="29" t="n">
        <v>9.32</v>
      </c>
      <c r="D62" s="29" t="n">
        <v>9.6</v>
      </c>
      <c r="E62" s="29" t="n">
        <v>6.95</v>
      </c>
      <c r="F62" s="29" t="n">
        <v>5.57</v>
      </c>
      <c r="G62" s="29" t="n">
        <v>0</v>
      </c>
      <c r="H62" s="30"/>
    </row>
    <row r="63" customFormat="false" ht="22.05" hidden="false" customHeight="false" outlineLevel="0" collapsed="false">
      <c r="A63" s="5" t="s">
        <v>73</v>
      </c>
      <c r="B63" s="29" t="n">
        <v>1</v>
      </c>
      <c r="C63" s="29" t="n">
        <v>0.734</v>
      </c>
      <c r="D63" s="29" t="n">
        <v>0.22</v>
      </c>
      <c r="E63" s="29" t="n">
        <v>0.0328</v>
      </c>
      <c r="F63" s="29" t="n">
        <v>0.67</v>
      </c>
      <c r="G63" s="29" t="n">
        <v>0.0007</v>
      </c>
      <c r="H63" s="30"/>
    </row>
    <row r="64" customFormat="false" ht="22.05" hidden="false" customHeight="false" outlineLevel="0" collapsed="false">
      <c r="B64" s="29" t="s">
        <v>47</v>
      </c>
      <c r="C64" s="29" t="s">
        <v>47</v>
      </c>
      <c r="D64" s="29" t="s">
        <v>47</v>
      </c>
      <c r="E64" s="29" t="s">
        <v>46</v>
      </c>
      <c r="F64" s="29" t="s">
        <v>47</v>
      </c>
      <c r="G64" s="29" t="s">
        <v>44</v>
      </c>
      <c r="H64" s="30"/>
    </row>
    <row r="67" customFormat="false" ht="22.05" hidden="false" customHeight="false" outlineLevel="0" collapsed="false">
      <c r="A67" s="3" t="s">
        <v>74</v>
      </c>
    </row>
    <row r="68" customFormat="false" ht="22.05" hidden="false" customHeight="false" outlineLevel="0" collapsed="false">
      <c r="B68" s="16" t="s">
        <v>14</v>
      </c>
      <c r="C68" s="16" t="s">
        <v>15</v>
      </c>
      <c r="D68" s="16" t="n">
        <v>0.5</v>
      </c>
      <c r="E68" s="16" t="n">
        <v>1.5</v>
      </c>
      <c r="F68" s="16" t="n">
        <v>7</v>
      </c>
      <c r="G68" s="16" t="n">
        <v>24</v>
      </c>
      <c r="H68" s="16"/>
    </row>
    <row r="69" customFormat="false" ht="22.05" hidden="false" customHeight="false" outlineLevel="0" collapsed="false">
      <c r="A69" s="5" t="s">
        <v>75</v>
      </c>
      <c r="B69" s="29" t="n">
        <v>100</v>
      </c>
      <c r="C69" s="29" t="n">
        <v>95.65</v>
      </c>
      <c r="D69" s="29" t="n">
        <v>95.34</v>
      </c>
      <c r="E69" s="29" t="n">
        <v>83.23</v>
      </c>
      <c r="F69" s="29" t="n">
        <v>80.75</v>
      </c>
      <c r="G69" s="29" t="n">
        <v>71.43</v>
      </c>
      <c r="H69" s="30"/>
    </row>
    <row r="70" customFormat="false" ht="22.05" hidden="false" customHeight="false" outlineLevel="0" collapsed="false">
      <c r="A70" s="5" t="s">
        <v>76</v>
      </c>
      <c r="B70" s="29" t="n">
        <v>5.93</v>
      </c>
      <c r="C70" s="29" t="n">
        <v>4.96</v>
      </c>
      <c r="D70" s="29" t="n">
        <v>6.11</v>
      </c>
      <c r="E70" s="29" t="n">
        <v>5.6</v>
      </c>
      <c r="F70" s="29" t="n">
        <v>4.89</v>
      </c>
      <c r="G70" s="29" t="n">
        <v>4.61</v>
      </c>
      <c r="H70" s="30"/>
    </row>
    <row r="71" customFormat="false" ht="22.05" hidden="false" customHeight="false" outlineLevel="0" collapsed="false">
      <c r="H71" s="30"/>
    </row>
    <row r="72" customFormat="false" ht="22.05" hidden="false" customHeight="false" outlineLevel="0" collapsed="false">
      <c r="H72" s="30"/>
    </row>
    <row r="73" customFormat="false" ht="22.05" hidden="false" customHeight="false" outlineLevel="0" collapsed="false">
      <c r="A73" s="5" t="s">
        <v>77</v>
      </c>
      <c r="B73" s="29" t="n">
        <v>100</v>
      </c>
      <c r="C73" s="29" t="n">
        <v>92.81</v>
      </c>
      <c r="D73" s="29" t="n">
        <v>86.23</v>
      </c>
      <c r="E73" s="29" t="n">
        <v>79.94</v>
      </c>
      <c r="F73" s="29" t="n">
        <v>66.17</v>
      </c>
      <c r="G73" s="29" t="n">
        <v>55.39</v>
      </c>
      <c r="H73" s="30"/>
    </row>
    <row r="74" customFormat="false" ht="22.05" hidden="false" customHeight="false" outlineLevel="0" collapsed="false">
      <c r="A74" s="5" t="s">
        <v>78</v>
      </c>
      <c r="B74" s="29" t="n">
        <v>3.77</v>
      </c>
      <c r="C74" s="29" t="n">
        <v>2.67</v>
      </c>
      <c r="D74" s="29" t="n">
        <v>3.38</v>
      </c>
      <c r="E74" s="29" t="n">
        <v>3.84</v>
      </c>
      <c r="F74" s="29" t="n">
        <v>3.04</v>
      </c>
      <c r="G74" s="29" t="n">
        <v>3.98</v>
      </c>
      <c r="H74" s="30"/>
    </row>
    <row r="75" customFormat="false" ht="22.05" hidden="false" customHeight="false" outlineLevel="0" collapsed="false">
      <c r="A75" s="5" t="s">
        <v>79</v>
      </c>
      <c r="B75" s="29" t="n">
        <v>1</v>
      </c>
      <c r="C75" s="29" t="n">
        <v>0.622</v>
      </c>
      <c r="D75" s="29" t="n">
        <v>0.213</v>
      </c>
      <c r="E75" s="29" t="n">
        <v>0.635</v>
      </c>
      <c r="F75" s="29" t="n">
        <v>0.023</v>
      </c>
      <c r="G75" s="29" t="n">
        <v>0.017</v>
      </c>
      <c r="H75" s="30"/>
    </row>
    <row r="76" customFormat="false" ht="22.05" hidden="false" customHeight="false" outlineLevel="0" collapsed="false">
      <c r="B76" s="29" t="s">
        <v>47</v>
      </c>
      <c r="C76" s="29" t="s">
        <v>47</v>
      </c>
      <c r="D76" s="29" t="s">
        <v>47</v>
      </c>
      <c r="E76" s="29" t="s">
        <v>47</v>
      </c>
      <c r="F76" s="29" t="s">
        <v>46</v>
      </c>
      <c r="G76" s="29" t="s">
        <v>46</v>
      </c>
      <c r="H76" s="30"/>
    </row>
    <row r="77" customFormat="false" ht="22.05" hidden="false" customHeight="false" outlineLevel="0" collapsed="false">
      <c r="H77" s="30"/>
    </row>
    <row r="78" customFormat="false" ht="22.05" hidden="false" customHeight="false" outlineLevel="0" collapsed="false">
      <c r="A78" s="5" t="s">
        <v>63</v>
      </c>
      <c r="B78" s="29" t="n">
        <v>100</v>
      </c>
      <c r="C78" s="29" t="n">
        <v>89.49</v>
      </c>
      <c r="D78" s="29" t="n">
        <v>82.8</v>
      </c>
      <c r="E78" s="29" t="n">
        <v>71.02</v>
      </c>
      <c r="F78" s="29" t="n">
        <v>72.37</v>
      </c>
      <c r="G78" s="29" t="n">
        <v>48.73</v>
      </c>
      <c r="H78" s="30"/>
    </row>
    <row r="79" customFormat="false" ht="22.05" hidden="false" customHeight="false" outlineLevel="0" collapsed="false">
      <c r="A79" s="5" t="s">
        <v>64</v>
      </c>
      <c r="B79" s="29" t="n">
        <v>5.2</v>
      </c>
      <c r="C79" s="29" t="n">
        <v>6.09</v>
      </c>
      <c r="D79" s="29" t="n">
        <v>5.6</v>
      </c>
      <c r="E79" s="29" t="n">
        <v>5.63</v>
      </c>
      <c r="F79" s="29" t="n">
        <v>6.81</v>
      </c>
      <c r="G79" s="29" t="n">
        <v>1.65</v>
      </c>
      <c r="H79" s="30"/>
    </row>
    <row r="80" customFormat="false" ht="22.05" hidden="false" customHeight="false" outlineLevel="0" collapsed="false">
      <c r="A80" s="5" t="s">
        <v>80</v>
      </c>
      <c r="B80" s="29" t="n">
        <v>1</v>
      </c>
      <c r="C80" s="29" t="n">
        <v>0.444</v>
      </c>
      <c r="D80" s="29" t="n">
        <v>0.148</v>
      </c>
      <c r="E80" s="29" t="n">
        <v>0.142</v>
      </c>
      <c r="F80" s="29" t="n">
        <v>0.335</v>
      </c>
      <c r="G80" s="29" t="n">
        <v>0.000782</v>
      </c>
      <c r="H80" s="30"/>
    </row>
    <row r="81" customFormat="false" ht="22.05" hidden="false" customHeight="false" outlineLevel="0" collapsed="false">
      <c r="B81" s="29" t="s">
        <v>47</v>
      </c>
      <c r="C81" s="29" t="s">
        <v>47</v>
      </c>
      <c r="D81" s="29" t="s">
        <v>47</v>
      </c>
      <c r="E81" s="29" t="s">
        <v>47</v>
      </c>
      <c r="F81" s="29" t="s">
        <v>47</v>
      </c>
      <c r="G81" s="29" t="s">
        <v>44</v>
      </c>
      <c r="H81" s="30"/>
    </row>
    <row r="82" customFormat="false" ht="22.05" hidden="false" customHeight="false" outlineLevel="0" collapsed="false">
      <c r="H82" s="30"/>
    </row>
    <row r="83" customFormat="false" ht="22.05" hidden="false" customHeight="false" outlineLevel="0" collapsed="false">
      <c r="A83" s="5" t="s">
        <v>81</v>
      </c>
      <c r="B83" s="29" t="n">
        <v>100</v>
      </c>
      <c r="C83" s="29" t="n">
        <v>108.86</v>
      </c>
      <c r="D83" s="29" t="n">
        <v>96.2</v>
      </c>
      <c r="E83" s="29" t="n">
        <v>98.73</v>
      </c>
      <c r="F83" s="29" t="n">
        <v>89.87</v>
      </c>
      <c r="G83" s="29" t="n">
        <v>0</v>
      </c>
      <c r="H83" s="30"/>
    </row>
    <row r="84" customFormat="false" ht="22.05" hidden="false" customHeight="false" outlineLevel="0" collapsed="false">
      <c r="A84" s="5" t="s">
        <v>82</v>
      </c>
      <c r="B84" s="29" t="n">
        <v>5.52</v>
      </c>
      <c r="C84" s="29" t="n">
        <v>10.82</v>
      </c>
      <c r="D84" s="29" t="n">
        <v>14.92</v>
      </c>
      <c r="E84" s="29" t="n">
        <v>5.8</v>
      </c>
      <c r="F84" s="29" t="n">
        <v>3.35</v>
      </c>
      <c r="G84" s="29" t="n">
        <v>0</v>
      </c>
      <c r="H84" s="30"/>
    </row>
    <row r="85" customFormat="false" ht="22.05" hidden="false" customHeight="false" outlineLevel="0" collapsed="false">
      <c r="A85" s="5" t="s">
        <v>83</v>
      </c>
      <c r="B85" s="29" t="n">
        <v>1</v>
      </c>
      <c r="C85" s="29" t="n">
        <v>0.351</v>
      </c>
      <c r="D85" s="29" t="n">
        <v>0.958</v>
      </c>
      <c r="E85" s="29" t="n">
        <v>0.1</v>
      </c>
      <c r="F85" s="29" t="n">
        <v>0.155</v>
      </c>
      <c r="G85" s="29" t="n">
        <v>9E-008</v>
      </c>
      <c r="H85" s="30"/>
    </row>
    <row r="86" customFormat="false" ht="22.05" hidden="false" customHeight="false" outlineLevel="0" collapsed="false">
      <c r="B86" s="29" t="s">
        <v>47</v>
      </c>
      <c r="C86" s="29" t="s">
        <v>47</v>
      </c>
      <c r="D86" s="29" t="s">
        <v>47</v>
      </c>
      <c r="E86" s="29" t="s">
        <v>47</v>
      </c>
      <c r="F86" s="29" t="s">
        <v>47</v>
      </c>
      <c r="G86" s="29" t="s">
        <v>42</v>
      </c>
      <c r="H86" s="30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3158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2022-09-09T10:56:01Z</dcterms:created>
  <dc:creator/>
  <dc:description/>
  <dc:language>es-MX</dc:language>
  <cp:lastModifiedBy/>
  <dcterms:modified xsi:type="dcterms:W3CDTF">2025-12-07T17:37:20Z</dcterms:modified>
  <cp:revision>156</cp:revision>
  <dc:subject/>
  <dc:title/>
</cp:coreProperties>
</file>
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Figure_3" sheetId="1" state="visible" r:id="rId3"/>
    <sheet name="Figure_4" sheetId="2" state="visible" r:id="rId4"/>
    <sheet name="Figure_5a" sheetId="3" state="visible" r:id="rId5"/>
    <sheet name="Figure_5b" sheetId="4" state="visible" r:id="rId6"/>
    <sheet name="P-Value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<sst xmlns="http://schemas.openxmlformats.org/spreadsheetml/2006/main" count="440" uniqueCount="84">
  <si>
    <t xml:space="preserve">MB + Light</t>
  </si>
  <si>
    <t xml:space="preserve">Egg 1</t>
  </si>
  <si>
    <t xml:space="preserve">Egg 2</t>
  </si>
  <si>
    <t xml:space="preserve">Egg 3</t>
  </si>
  <si>
    <t xml:space="preserve">Egg 4</t>
  </si>
  <si>
    <t xml:space="preserve">Egg 5</t>
  </si>
  <si>
    <t xml:space="preserve">Egg 6</t>
  </si>
  <si>
    <t xml:space="preserve">Egg 7</t>
  </si>
  <si>
    <t xml:space="preserve">Egg 8</t>
  </si>
  <si>
    <t xml:space="preserve">Egg 9</t>
  </si>
  <si>
    <t xml:space="preserve">Egg 10</t>
  </si>
  <si>
    <t xml:space="preserve">Egg 11</t>
  </si>
  <si>
    <t xml:space="preserve">Egg 12</t>
  </si>
  <si>
    <t xml:space="preserve">Egg 13</t>
  </si>
  <si>
    <t xml:space="preserve">Egg 14</t>
  </si>
  <si>
    <t xml:space="preserve">Egg 15</t>
  </si>
  <si>
    <t xml:space="preserve">Average</t>
  </si>
  <si>
    <t xml:space="preserve">Error</t>
  </si>
  <si>
    <t xml:space="preserve">Normalized Average</t>
  </si>
  <si>
    <t xml:space="preserve">Normalized Error</t>
  </si>
  <si>
    <t xml:space="preserve">Before</t>
  </si>
  <si>
    <t xml:space="preserve">After</t>
  </si>
  <si>
    <t xml:space="preserve">30 mins</t>
  </si>
  <si>
    <t xml:space="preserve">1.5 hrs</t>
  </si>
  <si>
    <t xml:space="preserve">7 hrs</t>
  </si>
  <si>
    <t xml:space="preserve">24 hrs</t>
  </si>
  <si>
    <t xml:space="preserve">Only Light</t>
  </si>
  <si>
    <t xml:space="preserve">Only MB</t>
  </si>
  <si>
    <t xml:space="preserve">Control</t>
  </si>
  <si>
    <t xml:space="preserve">Algae + Light</t>
  </si>
  <si>
    <t xml:space="preserve">Egg 16</t>
  </si>
  <si>
    <t xml:space="preserve">z</t>
  </si>
  <si>
    <t xml:space="preserve">Only Algae</t>
  </si>
  <si>
    <t xml:space="preserve">Scenario a</t>
  </si>
  <si>
    <t xml:space="preserve">Scenario b</t>
  </si>
  <si>
    <t xml:space="preserve">Scenario c</t>
  </si>
  <si>
    <t xml:space="preserve">MB + Light (High Concentration)</t>
  </si>
  <si>
    <t xml:space="preserve">MB + Light (Low Concentration)</t>
  </si>
  <si>
    <t xml:space="preserve">Scenario b (High Concentration)</t>
  </si>
  <si>
    <t xml:space="preserve">Scenario b (Low Concentration)</t>
  </si>
  <si>
    <t xml:space="preserve">Lost</t>
  </si>
  <si>
    <t xml:space="preserve">Figure 3</t>
  </si>
  <si>
    <t xml:space="preserve">****</t>
  </si>
  <si>
    <t xml:space="preserve">Error Control</t>
  </si>
  <si>
    <t xml:space="preserve">***</t>
  </si>
  <si>
    <t xml:space="preserve">**</t>
  </si>
  <si>
    <t xml:space="preserve">*</t>
  </si>
  <si>
    <t xml:space="preserve">ns</t>
  </si>
  <si>
    <t xml:space="preserve">none</t>
  </si>
  <si>
    <t xml:space="preserve">Error Only Light</t>
  </si>
  <si>
    <t xml:space="preserve">Control vs Only Light (p-value)</t>
  </si>
  <si>
    <t xml:space="preserve">Error MB</t>
  </si>
  <si>
    <t xml:space="preserve">Control vs Only MB (p-value)</t>
  </si>
  <si>
    <t xml:space="preserve">PDT</t>
  </si>
  <si>
    <t xml:space="preserve">Error PDT</t>
  </si>
  <si>
    <t xml:space="preserve">Control vs PDT (p-value)</t>
  </si>
  <si>
    <t xml:space="preserve">Figure 4</t>
  </si>
  <si>
    <t xml:space="preserve">Error Only Algae</t>
  </si>
  <si>
    <t xml:space="preserve">Control vs Only Algae (p-value)</t>
  </si>
  <si>
    <t xml:space="preserve">Algae+Light</t>
  </si>
  <si>
    <t xml:space="preserve">Error Algae+Light</t>
  </si>
  <si>
    <t xml:space="preserve">Control vs Only Algae + Light (p-value)</t>
  </si>
  <si>
    <t xml:space="preserve">Figure 5a</t>
  </si>
  <si>
    <t xml:space="preserve">PDT (High concentration)</t>
  </si>
  <si>
    <t xml:space="preserve">Error PDT (High Conc.)</t>
  </si>
  <si>
    <t xml:space="preserve">Combination a</t>
  </si>
  <si>
    <t xml:space="preserve">Error Combination a</t>
  </si>
  <si>
    <t xml:space="preserve">PDT High vs Combination a (p-value)</t>
  </si>
  <si>
    <t xml:space="preserve">Combination b</t>
  </si>
  <si>
    <t xml:space="preserve">Error Combination b</t>
  </si>
  <si>
    <t xml:space="preserve">PDT High vs Combination b (p-value)</t>
  </si>
  <si>
    <t xml:space="preserve">Combination c</t>
  </si>
  <si>
    <t xml:space="preserve">Error Combination c</t>
  </si>
  <si>
    <t xml:space="preserve">PDT High vs Combination c (p-value)</t>
  </si>
  <si>
    <t xml:space="preserve">Figure 5b</t>
  </si>
  <si>
    <t xml:space="preserve">PDT (Low concentration)</t>
  </si>
  <si>
    <t xml:space="preserve">Error PDT (Low conc.)</t>
  </si>
  <si>
    <t xml:space="preserve">Combination b Low</t>
  </si>
  <si>
    <t xml:space="preserve">Error Combination b Low</t>
  </si>
  <si>
    <t xml:space="preserve">PDT vs Comb b low (p-value)</t>
  </si>
  <si>
    <t xml:space="preserve">PDT vs PDT High (p-value)</t>
  </si>
  <si>
    <t xml:space="preserve">Combination b High</t>
  </si>
  <si>
    <t xml:space="preserve">Error Combination b High</t>
  </si>
  <si>
    <t xml:space="preserve">PDT vs Comb b high (p-value)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</si>
</sst>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%"/>
    <numFmt numFmtId="167" formatCode="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Arial"/>
      <family val="2"/>
    </font>
    <font>
      <b val="true"/>
      <sz val="18"/>
      <name val="Arial"/>
      <family val="2"/>
    </font>
    <font>
      <i val="true"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0000"/>
        <bgColor rgb="FFFF4000"/>
      </patternFill>
    </fill>
    <fill>
      <patternFill patternType="solid">
        <fgColor rgb="FFFF4000"/>
        <bgColor rgb="FFFF0000"/>
      </patternFill>
    </fill>
    <fill>
      <patternFill patternType="solid">
        <fgColor rgb="FF729FCF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EZ3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3" activeCellId="0" sqref="A13"/>
    </sheetView>
  </sheetViews>
  <sheetFormatPr defaultColWidth="11.53515625" defaultRowHeight="22.05" customHeight="true" zeroHeight="false" outlineLevelRow="0" outlineLevelCol="0"/>
  <cols>
    <col collapsed="false" customWidth="true" hidden="false" outlineLevel="0" max="1" min="1" style="1" width="27.45"/>
    <col collapsed="false" customWidth="true" hidden="false" outlineLevel="0" max="4" min="2" style="1" width="14.15"/>
    <col collapsed="false" customWidth="true" hidden="false" outlineLevel="0" max="5" min="5" style="1" width="16.07"/>
    <col collapsed="false" customWidth="true" hidden="false" outlineLevel="0" max="6" min="6" style="1" width="17.93"/>
    <col collapsed="false" customWidth="true" hidden="false" outlineLevel="0" max="7" min="7" style="1" width="34.78"/>
    <col collapsed="false" customWidth="true" hidden="false" outlineLevel="0" max="8" min="8" style="1" width="33.85"/>
    <col collapsed="false" customWidth="true" hidden="false" outlineLevel="0" max="9" min="9" style="1" width="34.93"/>
    <col collapsed="false" customWidth="true" hidden="false" outlineLevel="0" max="10" min="10" style="1" width="29.31"/>
    <col collapsed="false" customWidth="true" hidden="false" outlineLevel="0" max="16" min="11" style="1" width="16.01"/>
    <col collapsed="false" customWidth="true" hidden="false" outlineLevel="0" max="17" min="17" style="1" width="17.77"/>
    <col collapsed="false" customWidth="true" hidden="false" outlineLevel="0" max="18" min="18" style="1" width="13.14"/>
    <col collapsed="false" customWidth="true" hidden="false" outlineLevel="0" max="19" min="19" style="1" width="34.1"/>
    <col collapsed="false" customWidth="true" hidden="false" outlineLevel="0" max="20" min="20" style="1" width="29.31"/>
    <col collapsed="false" customWidth="false" hidden="false" outlineLevel="0" max="16384" min="21" style="1" width="11.53"/>
  </cols>
  <sheetData>
    <row r="1" customFormat="false" ht="22.0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2.05" hidden="false" customHeight="false" outlineLevel="0" collapsed="false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3" t="s">
        <v>16</v>
      </c>
      <c r="R2" s="3" t="s">
        <v>17</v>
      </c>
      <c r="S2" s="4" t="s">
        <v>18</v>
      </c>
      <c r="T2" s="4" t="s">
        <v>19</v>
      </c>
    </row>
    <row r="3" customFormat="false" ht="22.05" hidden="false" customHeight="false" outlineLevel="0" collapsed="false">
      <c r="A3" s="1" t="s">
        <v>20</v>
      </c>
      <c r="B3" s="1" t="n">
        <v>24</v>
      </c>
      <c r="C3" s="1" t="n">
        <v>41</v>
      </c>
      <c r="D3" s="1" t="n">
        <v>38</v>
      </c>
      <c r="E3" s="1" t="n">
        <v>40</v>
      </c>
      <c r="F3" s="5" t="n">
        <v>39</v>
      </c>
      <c r="G3" s="5" t="n">
        <v>35</v>
      </c>
      <c r="H3" s="5" t="n">
        <v>33</v>
      </c>
      <c r="I3" s="5" t="n">
        <v>34</v>
      </c>
      <c r="J3" s="5" t="n">
        <v>30</v>
      </c>
      <c r="K3" s="5" t="n">
        <v>38</v>
      </c>
      <c r="L3" s="5" t="n">
        <v>18</v>
      </c>
      <c r="M3" s="5" t="n">
        <v>41</v>
      </c>
      <c r="N3" s="5" t="n">
        <v>36</v>
      </c>
      <c r="O3" s="5" t="n">
        <v>30</v>
      </c>
      <c r="P3" s="5" t="n">
        <v>23</v>
      </c>
      <c r="Q3" s="6" t="n">
        <f aca="false">AVERAGE(B3:P3)</f>
        <v>33.3333333333333</v>
      </c>
      <c r="R3" s="6" t="n">
        <f aca="false">STDEV(B3:P3)/SQRT(15)</f>
        <v>1.82487225036678</v>
      </c>
      <c r="S3" s="7" t="n">
        <f aca="false">Q3/$Q$3</f>
        <v>1</v>
      </c>
      <c r="T3" s="7" t="n">
        <f aca="false">R3/$Q$3</f>
        <v>0.0547461675110035</v>
      </c>
    </row>
    <row r="4" customFormat="false" ht="22.05" hidden="false" customHeight="false" outlineLevel="0" collapsed="false">
      <c r="A4" s="1" t="s">
        <v>21</v>
      </c>
      <c r="B4" s="1" t="n">
        <v>23</v>
      </c>
      <c r="C4" s="1" t="n">
        <v>44</v>
      </c>
      <c r="D4" s="1" t="n">
        <v>30</v>
      </c>
      <c r="E4" s="1" t="n">
        <v>24</v>
      </c>
      <c r="F4" s="5" t="n">
        <v>36</v>
      </c>
      <c r="G4" s="5" t="n">
        <v>29</v>
      </c>
      <c r="H4" s="5" t="n">
        <v>29</v>
      </c>
      <c r="I4" s="5" t="n">
        <v>32</v>
      </c>
      <c r="J4" s="5" t="n">
        <v>34</v>
      </c>
      <c r="K4" s="5" t="n">
        <v>29</v>
      </c>
      <c r="L4" s="5" t="n">
        <v>25</v>
      </c>
      <c r="M4" s="5" t="n">
        <v>40</v>
      </c>
      <c r="N4" s="5" t="n">
        <v>34</v>
      </c>
      <c r="O4" s="5" t="n">
        <v>28</v>
      </c>
      <c r="P4" s="5" t="n">
        <v>27</v>
      </c>
      <c r="Q4" s="6" t="n">
        <f aca="false">AVERAGE(B4:P4)</f>
        <v>30.9333333333333</v>
      </c>
      <c r="R4" s="6" t="n">
        <f aca="false">STDEV(B4:P4)/SQRT(15)</f>
        <v>1.51332704005404</v>
      </c>
      <c r="S4" s="7" t="n">
        <f aca="false">Q4/$Q$3</f>
        <v>0.928</v>
      </c>
      <c r="T4" s="7" t="n">
        <f aca="false">R4/$Q$3</f>
        <v>0.0453998112016213</v>
      </c>
    </row>
    <row r="5" customFormat="false" ht="22.05" hidden="false" customHeight="false" outlineLevel="0" collapsed="false">
      <c r="A5" s="1" t="s">
        <v>22</v>
      </c>
      <c r="B5" s="1" t="n">
        <v>34</v>
      </c>
      <c r="C5" s="1" t="n">
        <v>32</v>
      </c>
      <c r="D5" s="1" t="n">
        <v>24</v>
      </c>
      <c r="E5" s="1" t="n">
        <v>21</v>
      </c>
      <c r="F5" s="5" t="n">
        <v>40</v>
      </c>
      <c r="G5" s="5" t="n">
        <v>28</v>
      </c>
      <c r="H5" s="5" t="n">
        <v>27</v>
      </c>
      <c r="I5" s="5" t="n">
        <v>30</v>
      </c>
      <c r="J5" s="5" t="n">
        <v>24</v>
      </c>
      <c r="K5" s="5" t="n">
        <v>29</v>
      </c>
      <c r="L5" s="5" t="n">
        <v>26</v>
      </c>
      <c r="M5" s="5" t="n">
        <v>37</v>
      </c>
      <c r="N5" s="5" t="n">
        <v>33</v>
      </c>
      <c r="O5" s="5" t="n">
        <v>28</v>
      </c>
      <c r="P5" s="5" t="n">
        <v>28</v>
      </c>
      <c r="Q5" s="6" t="n">
        <f aca="false">AVERAGE(B5:P5)</f>
        <v>29.4</v>
      </c>
      <c r="R5" s="6" t="n">
        <f aca="false">STDEV(B5:P5)/SQRT(15)</f>
        <v>1.31583759310508</v>
      </c>
      <c r="S5" s="7" t="n">
        <f aca="false">Q5/$Q$3</f>
        <v>0.882</v>
      </c>
      <c r="T5" s="7" t="n">
        <f aca="false">R5/$Q$3</f>
        <v>0.0394751277931524</v>
      </c>
    </row>
    <row r="6" customFormat="false" ht="22.05" hidden="false" customHeight="false" outlineLevel="0" collapsed="false">
      <c r="A6" s="1" t="s">
        <v>23</v>
      </c>
      <c r="B6" s="1" t="n">
        <v>33</v>
      </c>
      <c r="C6" s="1" t="n">
        <v>26</v>
      </c>
      <c r="D6" s="1" t="n">
        <v>22</v>
      </c>
      <c r="E6" s="1" t="n">
        <v>31</v>
      </c>
      <c r="F6" s="5" t="n">
        <v>31</v>
      </c>
      <c r="G6" s="5" t="n">
        <v>20</v>
      </c>
      <c r="H6" s="5" t="n">
        <v>16</v>
      </c>
      <c r="I6" s="5" t="n">
        <v>20</v>
      </c>
      <c r="J6" s="5" t="n">
        <v>24</v>
      </c>
      <c r="K6" s="5" t="n">
        <v>25</v>
      </c>
      <c r="L6" s="5" t="n">
        <v>26</v>
      </c>
      <c r="M6" s="5" t="n">
        <v>35</v>
      </c>
      <c r="N6" s="5" t="n">
        <v>30</v>
      </c>
      <c r="O6" s="5" t="n">
        <v>26</v>
      </c>
      <c r="P6" s="5" t="n">
        <v>29</v>
      </c>
      <c r="Q6" s="6" t="n">
        <f aca="false">AVERAGE(B6:P6)</f>
        <v>26.2666666666667</v>
      </c>
      <c r="R6" s="6" t="n">
        <f aca="false">STDEV(B6:P6)/SQRT(15)</f>
        <v>1.3748304368753</v>
      </c>
      <c r="S6" s="7" t="n">
        <f aca="false">Q6/$Q$3</f>
        <v>0.788</v>
      </c>
      <c r="T6" s="7" t="n">
        <f aca="false">R6/$Q$3</f>
        <v>0.041244913106259</v>
      </c>
    </row>
    <row r="7" customFormat="false" ht="22.05" hidden="false" customHeight="false" outlineLevel="0" collapsed="false">
      <c r="A7" s="1" t="s">
        <v>24</v>
      </c>
      <c r="B7" s="5" t="n">
        <v>34</v>
      </c>
      <c r="C7" s="5" t="n">
        <v>21</v>
      </c>
      <c r="D7" s="1" t="n">
        <v>17</v>
      </c>
      <c r="E7" s="1" t="n">
        <v>37</v>
      </c>
      <c r="F7" s="5" t="n">
        <v>24</v>
      </c>
      <c r="G7" s="5" t="n">
        <v>20</v>
      </c>
      <c r="H7" s="8"/>
      <c r="I7" s="5" t="n">
        <v>21</v>
      </c>
      <c r="J7" s="5" t="n">
        <v>28</v>
      </c>
      <c r="K7" s="5" t="n">
        <v>23</v>
      </c>
      <c r="L7" s="5" t="n">
        <v>22</v>
      </c>
      <c r="M7" s="5" t="n">
        <v>27</v>
      </c>
      <c r="N7" s="5" t="n">
        <v>26</v>
      </c>
      <c r="O7" s="5" t="n">
        <v>26</v>
      </c>
      <c r="P7" s="5" t="n">
        <v>23</v>
      </c>
      <c r="Q7" s="6" t="n">
        <f aca="false">AVERAGE(B7:P7)</f>
        <v>24.9285714285714</v>
      </c>
      <c r="R7" s="6" t="n">
        <f aca="false">STDEV(B7:P7)/SQRT(15)</f>
        <v>1.39399549612739</v>
      </c>
      <c r="S7" s="7" t="n">
        <f aca="false">Q7/$Q$3</f>
        <v>0.747857142857143</v>
      </c>
      <c r="T7" s="7" t="n">
        <f aca="false">R7/$Q$3</f>
        <v>0.0418198648838216</v>
      </c>
    </row>
    <row r="8" customFormat="false" ht="22.05" hidden="false" customHeight="false" outlineLevel="0" collapsed="false">
      <c r="A8" s="1" t="s">
        <v>25</v>
      </c>
      <c r="B8" s="8"/>
      <c r="C8" s="5" t="n">
        <v>18</v>
      </c>
      <c r="D8" s="1" t="n">
        <v>18</v>
      </c>
      <c r="E8" s="1" t="n">
        <v>15</v>
      </c>
      <c r="F8" s="8"/>
      <c r="G8" s="8"/>
      <c r="H8" s="8"/>
      <c r="I8" s="8"/>
      <c r="J8" s="8"/>
      <c r="K8" s="5" t="n">
        <v>12</v>
      </c>
      <c r="L8" s="5" t="n">
        <v>16</v>
      </c>
      <c r="M8" s="5" t="n">
        <v>30</v>
      </c>
      <c r="N8" s="5" t="n">
        <v>18</v>
      </c>
      <c r="O8" s="8"/>
      <c r="P8" s="8"/>
      <c r="Q8" s="6" t="n">
        <f aca="false">AVERAGE(B8:P8)</f>
        <v>18.1428571428571</v>
      </c>
      <c r="R8" s="6" t="n">
        <f aca="false">STDEV(B8:P8)/SQRT(15)</f>
        <v>1.4638501094228</v>
      </c>
      <c r="S8" s="7" t="n">
        <f aca="false">Q8/$Q$3</f>
        <v>0.544285714285714</v>
      </c>
      <c r="T8" s="7" t="n">
        <f aca="false">R8/$Q$3</f>
        <v>0.043915503282684</v>
      </c>
    </row>
    <row r="11" s="5" customFormat="true" ht="22.05" hidden="false" customHeight="false" outlineLevel="0" collapsed="false">
      <c r="K11" s="6"/>
      <c r="L11" s="6"/>
      <c r="M11" s="9"/>
      <c r="N11" s="6"/>
      <c r="Y11" s="6"/>
      <c r="Z11" s="6"/>
      <c r="AA11" s="9"/>
      <c r="AB11" s="6"/>
      <c r="AM11" s="6"/>
      <c r="AN11" s="6"/>
      <c r="AO11" s="9"/>
      <c r="AP11" s="6"/>
      <c r="BA11" s="6"/>
      <c r="BB11" s="6"/>
      <c r="BC11" s="9"/>
      <c r="BD11" s="6"/>
      <c r="BO11" s="6"/>
      <c r="BP11" s="6"/>
      <c r="BQ11" s="9"/>
      <c r="BR11" s="6"/>
      <c r="CC11" s="6"/>
      <c r="CD11" s="6"/>
      <c r="CE11" s="9"/>
      <c r="CF11" s="6"/>
      <c r="CQ11" s="6"/>
      <c r="CR11" s="6"/>
      <c r="CS11" s="9"/>
      <c r="CT11" s="6"/>
      <c r="DE11" s="6"/>
      <c r="DF11" s="6"/>
      <c r="DG11" s="9"/>
      <c r="DH11" s="6"/>
      <c r="DS11" s="6"/>
      <c r="DT11" s="6"/>
      <c r="DU11" s="9"/>
      <c r="DV11" s="6"/>
      <c r="EG11" s="6"/>
      <c r="EH11" s="6"/>
      <c r="EI11" s="9"/>
      <c r="EJ11" s="6"/>
      <c r="EU11" s="6"/>
      <c r="EV11" s="6"/>
      <c r="EW11" s="9"/>
      <c r="EX11" s="6"/>
      <c r="FI11" s="6"/>
      <c r="FJ11" s="6"/>
      <c r="FK11" s="9"/>
      <c r="FL11" s="6"/>
      <c r="FW11" s="6"/>
      <c r="FX11" s="6"/>
      <c r="FY11" s="9"/>
      <c r="FZ11" s="6"/>
      <c r="GK11" s="6"/>
      <c r="GL11" s="6"/>
      <c r="GM11" s="9"/>
      <c r="GN11" s="6"/>
      <c r="GY11" s="6"/>
      <c r="GZ11" s="6"/>
      <c r="HA11" s="9"/>
      <c r="HB11" s="6"/>
      <c r="HM11" s="6"/>
      <c r="HN11" s="6"/>
      <c r="HO11" s="9"/>
      <c r="HP11" s="6"/>
      <c r="IA11" s="6"/>
      <c r="IB11" s="6"/>
      <c r="IC11" s="9"/>
      <c r="ID11" s="6"/>
      <c r="IO11" s="6"/>
      <c r="IP11" s="6"/>
      <c r="IQ11" s="9"/>
      <c r="IR11" s="6"/>
      <c r="JC11" s="6"/>
      <c r="JD11" s="6"/>
      <c r="JE11" s="9"/>
      <c r="JF11" s="6"/>
      <c r="JQ11" s="6"/>
      <c r="JR11" s="6"/>
      <c r="JS11" s="9"/>
      <c r="JT11" s="6"/>
      <c r="KE11" s="6"/>
      <c r="KF11" s="6"/>
      <c r="KG11" s="9"/>
      <c r="KH11" s="6"/>
      <c r="KS11" s="6"/>
      <c r="KT11" s="6"/>
      <c r="KU11" s="9"/>
      <c r="KV11" s="6"/>
      <c r="LG11" s="6"/>
      <c r="LH11" s="6"/>
      <c r="LI11" s="9"/>
      <c r="LJ11" s="6"/>
      <c r="LU11" s="6"/>
      <c r="LV11" s="6"/>
      <c r="LW11" s="9"/>
      <c r="LX11" s="6"/>
      <c r="MI11" s="6"/>
      <c r="MJ11" s="6"/>
      <c r="MK11" s="9"/>
      <c r="ML11" s="6"/>
      <c r="MW11" s="6"/>
      <c r="MX11" s="6"/>
      <c r="MY11" s="9"/>
      <c r="MZ11" s="6"/>
      <c r="NK11" s="6"/>
      <c r="NL11" s="6"/>
      <c r="NM11" s="9"/>
      <c r="NN11" s="6"/>
      <c r="NY11" s="6"/>
      <c r="NZ11" s="6"/>
      <c r="OA11" s="9"/>
      <c r="OB11" s="6"/>
      <c r="OM11" s="6"/>
      <c r="ON11" s="6"/>
      <c r="OO11" s="9"/>
      <c r="OP11" s="6"/>
      <c r="PA11" s="6"/>
      <c r="PB11" s="6"/>
      <c r="PC11" s="9"/>
      <c r="PD11" s="6"/>
      <c r="PO11" s="6"/>
      <c r="PP11" s="6"/>
      <c r="PQ11" s="9"/>
      <c r="PR11" s="6"/>
      <c r="QC11" s="6"/>
      <c r="QD11" s="6"/>
      <c r="QE11" s="9"/>
      <c r="QF11" s="6"/>
      <c r="QQ11" s="6"/>
      <c r="QR11" s="6"/>
      <c r="QS11" s="9"/>
      <c r="QT11" s="6"/>
      <c r="RE11" s="6"/>
      <c r="RF11" s="6"/>
      <c r="RG11" s="9"/>
      <c r="RH11" s="6"/>
      <c r="RS11" s="6"/>
      <c r="RT11" s="6"/>
      <c r="RU11" s="9"/>
      <c r="RV11" s="6"/>
      <c r="SG11" s="6"/>
      <c r="SH11" s="6"/>
      <c r="SI11" s="9"/>
      <c r="SJ11" s="6"/>
      <c r="SU11" s="6"/>
      <c r="SV11" s="6"/>
      <c r="SW11" s="9"/>
      <c r="SX11" s="6"/>
      <c r="TI11" s="6"/>
      <c r="TJ11" s="6"/>
      <c r="TK11" s="9"/>
      <c r="TL11" s="6"/>
      <c r="TW11" s="6"/>
      <c r="TX11" s="6"/>
      <c r="TY11" s="9"/>
      <c r="TZ11" s="6"/>
      <c r="UK11" s="6"/>
      <c r="UL11" s="6"/>
      <c r="UM11" s="9"/>
      <c r="UN11" s="6"/>
      <c r="UY11" s="6"/>
      <c r="UZ11" s="6"/>
      <c r="VA11" s="9"/>
      <c r="VB11" s="6"/>
      <c r="VM11" s="6"/>
      <c r="VN11" s="6"/>
      <c r="VO11" s="9"/>
      <c r="VP11" s="6"/>
      <c r="WA11" s="6"/>
      <c r="WB11" s="6"/>
      <c r="WC11" s="9"/>
      <c r="WD11" s="6"/>
      <c r="WO11" s="6"/>
      <c r="WP11" s="6"/>
      <c r="WQ11" s="9"/>
      <c r="WR11" s="6"/>
      <c r="XC11" s="6"/>
      <c r="XD11" s="6"/>
      <c r="XE11" s="9"/>
      <c r="XF11" s="6"/>
      <c r="XQ11" s="6"/>
      <c r="XR11" s="6"/>
      <c r="XS11" s="9"/>
      <c r="XT11" s="6"/>
      <c r="YE11" s="6"/>
      <c r="YF11" s="6"/>
      <c r="YG11" s="9"/>
      <c r="YH11" s="6"/>
      <c r="YS11" s="6"/>
      <c r="YT11" s="6"/>
      <c r="YU11" s="9"/>
      <c r="YV11" s="6"/>
      <c r="ZG11" s="6"/>
      <c r="ZH11" s="6"/>
      <c r="ZI11" s="9"/>
      <c r="ZJ11" s="6"/>
      <c r="ZU11" s="6"/>
      <c r="ZV11" s="6"/>
      <c r="ZW11" s="9"/>
      <c r="ZX11" s="6"/>
      <c r="AAI11" s="6"/>
      <c r="AAJ11" s="6"/>
      <c r="AAK11" s="9"/>
      <c r="AAL11" s="6"/>
      <c r="AAW11" s="6"/>
      <c r="AAX11" s="6"/>
      <c r="AAY11" s="9"/>
      <c r="AAZ11" s="6"/>
      <c r="ABK11" s="6"/>
      <c r="ABL11" s="6"/>
      <c r="ABM11" s="9"/>
      <c r="ABN11" s="6"/>
      <c r="ABY11" s="6"/>
      <c r="ABZ11" s="6"/>
      <c r="ACA11" s="9"/>
      <c r="ACB11" s="6"/>
      <c r="ACM11" s="6"/>
      <c r="ACN11" s="6"/>
      <c r="ACO11" s="9"/>
      <c r="ACP11" s="6"/>
      <c r="ADA11" s="6"/>
      <c r="ADB11" s="6"/>
      <c r="ADC11" s="9"/>
      <c r="ADD11" s="6"/>
      <c r="ADO11" s="6"/>
      <c r="ADP11" s="6"/>
      <c r="ADQ11" s="9"/>
      <c r="ADR11" s="6"/>
      <c r="AEC11" s="6"/>
      <c r="AED11" s="6"/>
      <c r="AEE11" s="9"/>
      <c r="AEF11" s="6"/>
      <c r="AEQ11" s="6"/>
      <c r="AER11" s="6"/>
      <c r="AES11" s="9"/>
      <c r="AET11" s="6"/>
      <c r="AFE11" s="6"/>
      <c r="AFF11" s="6"/>
      <c r="AFG11" s="9"/>
      <c r="AFH11" s="6"/>
      <c r="AFS11" s="6"/>
      <c r="AFT11" s="6"/>
      <c r="AFU11" s="9"/>
      <c r="AFV11" s="6"/>
      <c r="AGG11" s="6"/>
      <c r="AGH11" s="6"/>
      <c r="AGI11" s="9"/>
      <c r="AGJ11" s="6"/>
      <c r="AGU11" s="6"/>
      <c r="AGV11" s="6"/>
      <c r="AGW11" s="9"/>
      <c r="AGX11" s="6"/>
      <c r="AHI11" s="6"/>
      <c r="AHJ11" s="6"/>
      <c r="AHK11" s="9"/>
      <c r="AHL11" s="6"/>
      <c r="AHW11" s="6"/>
      <c r="AHX11" s="6"/>
      <c r="AHY11" s="9"/>
      <c r="AHZ11" s="6"/>
      <c r="AIK11" s="6"/>
      <c r="AIL11" s="6"/>
      <c r="AIM11" s="9"/>
      <c r="AIN11" s="6"/>
      <c r="AIY11" s="6"/>
      <c r="AIZ11" s="6"/>
      <c r="AJA11" s="9"/>
      <c r="AJB11" s="6"/>
      <c r="AJM11" s="6"/>
      <c r="AJN11" s="6"/>
      <c r="AJO11" s="9"/>
      <c r="AJP11" s="6"/>
      <c r="AKA11" s="6"/>
      <c r="AKB11" s="6"/>
      <c r="AKC11" s="9"/>
      <c r="AKD11" s="6"/>
      <c r="AKO11" s="6"/>
      <c r="AKP11" s="6"/>
      <c r="AKQ11" s="9"/>
      <c r="AKR11" s="6"/>
      <c r="ALC11" s="6"/>
      <c r="ALD11" s="6"/>
      <c r="ALE11" s="9"/>
      <c r="ALF11" s="6"/>
      <c r="ALQ11" s="6"/>
      <c r="ALR11" s="6"/>
      <c r="ALS11" s="9"/>
      <c r="ALT11" s="6"/>
      <c r="AME11" s="6"/>
      <c r="AMF11" s="6"/>
      <c r="AMG11" s="9"/>
      <c r="AMH11" s="6"/>
      <c r="AMS11" s="6"/>
      <c r="AMT11" s="6"/>
      <c r="AMU11" s="9"/>
      <c r="AMV11" s="6"/>
      <c r="ANG11" s="6"/>
      <c r="ANH11" s="6"/>
      <c r="ANI11" s="9"/>
      <c r="ANJ11" s="6"/>
      <c r="ANU11" s="6"/>
      <c r="ANV11" s="6"/>
      <c r="ANW11" s="9"/>
      <c r="ANX11" s="6"/>
      <c r="AOI11" s="6"/>
      <c r="AOJ11" s="6"/>
      <c r="AOK11" s="9"/>
      <c r="AOL11" s="6"/>
      <c r="AOW11" s="6"/>
      <c r="AOX11" s="6"/>
      <c r="AOY11" s="9"/>
      <c r="AOZ11" s="6"/>
      <c r="APK11" s="6"/>
      <c r="APL11" s="6"/>
      <c r="APM11" s="9"/>
      <c r="APN11" s="6"/>
      <c r="APY11" s="6"/>
      <c r="APZ11" s="6"/>
      <c r="AQA11" s="9"/>
      <c r="AQB11" s="6"/>
      <c r="AQM11" s="6"/>
      <c r="AQN11" s="6"/>
      <c r="AQO11" s="9"/>
      <c r="AQP11" s="6"/>
      <c r="ARA11" s="6"/>
      <c r="ARB11" s="6"/>
      <c r="ARC11" s="9"/>
      <c r="ARD11" s="6"/>
      <c r="ARO11" s="6"/>
      <c r="ARP11" s="6"/>
      <c r="ARQ11" s="9"/>
      <c r="ARR11" s="6"/>
      <c r="ASC11" s="6"/>
      <c r="ASD11" s="6"/>
      <c r="ASE11" s="9"/>
      <c r="ASF11" s="6"/>
      <c r="ASQ11" s="6"/>
      <c r="ASR11" s="6"/>
      <c r="ASS11" s="9"/>
      <c r="AST11" s="6"/>
      <c r="ATE11" s="6"/>
      <c r="ATF11" s="6"/>
      <c r="ATG11" s="9"/>
      <c r="ATH11" s="6"/>
      <c r="ATS11" s="6"/>
      <c r="ATT11" s="6"/>
      <c r="ATU11" s="9"/>
      <c r="ATV11" s="6"/>
      <c r="AUG11" s="6"/>
      <c r="AUH11" s="6"/>
      <c r="AUI11" s="9"/>
      <c r="AUJ11" s="6"/>
      <c r="AUU11" s="6"/>
      <c r="AUV11" s="6"/>
      <c r="AUW11" s="9"/>
      <c r="AUX11" s="6"/>
      <c r="AVI11" s="6"/>
      <c r="AVJ11" s="6"/>
      <c r="AVK11" s="9"/>
      <c r="AVL11" s="6"/>
      <c r="AVW11" s="6"/>
      <c r="AVX11" s="6"/>
      <c r="AVY11" s="9"/>
      <c r="AVZ11" s="6"/>
      <c r="AWK11" s="6"/>
      <c r="AWL11" s="6"/>
      <c r="AWM11" s="9"/>
      <c r="AWN11" s="6"/>
      <c r="AWY11" s="6"/>
      <c r="AWZ11" s="6"/>
      <c r="AXA11" s="9"/>
      <c r="AXB11" s="6"/>
      <c r="AXM11" s="6"/>
      <c r="AXN11" s="6"/>
      <c r="AXO11" s="9"/>
      <c r="AXP11" s="6"/>
      <c r="AYA11" s="6"/>
      <c r="AYB11" s="6"/>
      <c r="AYC11" s="9"/>
      <c r="AYD11" s="6"/>
      <c r="AYO11" s="6"/>
      <c r="AYP11" s="6"/>
      <c r="AYQ11" s="9"/>
      <c r="AYR11" s="6"/>
      <c r="AZC11" s="6"/>
      <c r="AZD11" s="6"/>
      <c r="AZE11" s="9"/>
      <c r="AZF11" s="6"/>
      <c r="AZQ11" s="6"/>
      <c r="AZR11" s="6"/>
      <c r="AZS11" s="9"/>
      <c r="AZT11" s="6"/>
      <c r="BAE11" s="6"/>
      <c r="BAF11" s="6"/>
      <c r="BAG11" s="9"/>
      <c r="BAH11" s="6"/>
      <c r="BAS11" s="6"/>
      <c r="BAT11" s="6"/>
      <c r="BAU11" s="9"/>
      <c r="BAV11" s="6"/>
      <c r="BBG11" s="6"/>
      <c r="BBH11" s="6"/>
      <c r="BBI11" s="9"/>
      <c r="BBJ11" s="6"/>
      <c r="BBU11" s="6"/>
      <c r="BBV11" s="6"/>
      <c r="BBW11" s="9"/>
      <c r="BBX11" s="6"/>
      <c r="BCI11" s="6"/>
      <c r="BCJ11" s="6"/>
      <c r="BCK11" s="9"/>
      <c r="BCL11" s="6"/>
      <c r="BCW11" s="6"/>
      <c r="BCX11" s="6"/>
      <c r="BCY11" s="9"/>
      <c r="BCZ11" s="6"/>
      <c r="BDK11" s="6"/>
      <c r="BDL11" s="6"/>
      <c r="BDM11" s="9"/>
      <c r="BDN11" s="6"/>
      <c r="BDY11" s="6"/>
      <c r="BDZ11" s="6"/>
      <c r="BEA11" s="9"/>
      <c r="BEB11" s="6"/>
      <c r="BEM11" s="6"/>
      <c r="BEN11" s="6"/>
      <c r="BEO11" s="9"/>
      <c r="BEP11" s="6"/>
      <c r="BFA11" s="6"/>
      <c r="BFB11" s="6"/>
      <c r="BFC11" s="9"/>
      <c r="BFD11" s="6"/>
      <c r="BFO11" s="6"/>
      <c r="BFP11" s="6"/>
      <c r="BFQ11" s="9"/>
      <c r="BFR11" s="6"/>
      <c r="BGC11" s="6"/>
      <c r="BGD11" s="6"/>
      <c r="BGE11" s="9"/>
      <c r="BGF11" s="6"/>
      <c r="BGQ11" s="6"/>
      <c r="BGR11" s="6"/>
      <c r="BGS11" s="9"/>
      <c r="BGT11" s="6"/>
      <c r="BHE11" s="6"/>
      <c r="BHF11" s="6"/>
      <c r="BHG11" s="9"/>
      <c r="BHH11" s="6"/>
      <c r="BHS11" s="6"/>
      <c r="BHT11" s="6"/>
      <c r="BHU11" s="9"/>
      <c r="BHV11" s="6"/>
      <c r="BIG11" s="6"/>
      <c r="BIH11" s="6"/>
      <c r="BII11" s="9"/>
      <c r="BIJ11" s="6"/>
      <c r="BIU11" s="6"/>
      <c r="BIV11" s="6"/>
      <c r="BIW11" s="9"/>
      <c r="BIX11" s="6"/>
      <c r="BJI11" s="6"/>
      <c r="BJJ11" s="6"/>
      <c r="BJK11" s="9"/>
      <c r="BJL11" s="6"/>
      <c r="BJW11" s="6"/>
      <c r="BJX11" s="6"/>
      <c r="BJY11" s="9"/>
      <c r="BJZ11" s="6"/>
      <c r="BKK11" s="6"/>
      <c r="BKL11" s="6"/>
      <c r="BKM11" s="9"/>
      <c r="BKN11" s="6"/>
      <c r="BKY11" s="6"/>
      <c r="BKZ11" s="6"/>
      <c r="BLA11" s="9"/>
      <c r="BLB11" s="6"/>
      <c r="BLM11" s="6"/>
      <c r="BLN11" s="6"/>
      <c r="BLO11" s="9"/>
      <c r="BLP11" s="6"/>
      <c r="BMA11" s="6"/>
      <c r="BMB11" s="6"/>
      <c r="BMC11" s="9"/>
      <c r="BMD11" s="6"/>
      <c r="BMO11" s="6"/>
      <c r="BMP11" s="6"/>
      <c r="BMQ11" s="9"/>
      <c r="BMR11" s="6"/>
      <c r="BNC11" s="6"/>
      <c r="BND11" s="6"/>
      <c r="BNE11" s="9"/>
      <c r="BNF11" s="6"/>
      <c r="BNQ11" s="6"/>
      <c r="BNR11" s="6"/>
      <c r="BNS11" s="9"/>
      <c r="BNT11" s="6"/>
      <c r="BOE11" s="6"/>
      <c r="BOF11" s="6"/>
      <c r="BOG11" s="9"/>
      <c r="BOH11" s="6"/>
      <c r="BOS11" s="6"/>
      <c r="BOT11" s="6"/>
      <c r="BOU11" s="9"/>
      <c r="BOV11" s="6"/>
      <c r="BPG11" s="6"/>
      <c r="BPH11" s="6"/>
      <c r="BPI11" s="9"/>
      <c r="BPJ11" s="6"/>
      <c r="BPU11" s="6"/>
      <c r="BPV11" s="6"/>
      <c r="BPW11" s="9"/>
      <c r="BPX11" s="6"/>
      <c r="BQI11" s="6"/>
      <c r="BQJ11" s="6"/>
      <c r="BQK11" s="9"/>
      <c r="BQL11" s="6"/>
      <c r="BQW11" s="6"/>
      <c r="BQX11" s="6"/>
      <c r="BQY11" s="9"/>
      <c r="BQZ11" s="6"/>
      <c r="BRK11" s="6"/>
      <c r="BRL11" s="6"/>
      <c r="BRM11" s="9"/>
      <c r="BRN11" s="6"/>
      <c r="BRY11" s="6"/>
      <c r="BRZ11" s="6"/>
      <c r="BSA11" s="9"/>
      <c r="BSB11" s="6"/>
      <c r="BSM11" s="6"/>
      <c r="BSN11" s="6"/>
      <c r="BSO11" s="9"/>
      <c r="BSP11" s="6"/>
      <c r="BTA11" s="6"/>
      <c r="BTB11" s="6"/>
      <c r="BTC11" s="9"/>
      <c r="BTD11" s="6"/>
      <c r="BTO11" s="6"/>
      <c r="BTP11" s="6"/>
      <c r="BTQ11" s="9"/>
      <c r="BTR11" s="6"/>
      <c r="BUC11" s="6"/>
      <c r="BUD11" s="6"/>
      <c r="BUE11" s="9"/>
      <c r="BUF11" s="6"/>
      <c r="BUQ11" s="6"/>
      <c r="BUR11" s="6"/>
      <c r="BUS11" s="9"/>
      <c r="BUT11" s="6"/>
      <c r="BVE11" s="6"/>
      <c r="BVF11" s="6"/>
      <c r="BVG11" s="9"/>
      <c r="BVH11" s="6"/>
      <c r="BVS11" s="6"/>
      <c r="BVT11" s="6"/>
      <c r="BVU11" s="9"/>
      <c r="BVV11" s="6"/>
      <c r="BWG11" s="6"/>
      <c r="BWH11" s="6"/>
      <c r="BWI11" s="9"/>
      <c r="BWJ11" s="6"/>
      <c r="BWU11" s="6"/>
      <c r="BWV11" s="6"/>
      <c r="BWW11" s="9"/>
      <c r="BWX11" s="6"/>
      <c r="BXI11" s="6"/>
      <c r="BXJ11" s="6"/>
      <c r="BXK11" s="9"/>
      <c r="BXL11" s="6"/>
      <c r="BXW11" s="6"/>
      <c r="BXX11" s="6"/>
      <c r="BXY11" s="9"/>
      <c r="BXZ11" s="6"/>
      <c r="BYK11" s="6"/>
      <c r="BYL11" s="6"/>
      <c r="BYM11" s="9"/>
      <c r="BYN11" s="6"/>
      <c r="BYY11" s="6"/>
      <c r="BYZ11" s="6"/>
      <c r="BZA11" s="9"/>
      <c r="BZB11" s="6"/>
      <c r="BZM11" s="6"/>
      <c r="BZN11" s="6"/>
      <c r="BZO11" s="9"/>
      <c r="BZP11" s="6"/>
      <c r="CAA11" s="6"/>
      <c r="CAB11" s="6"/>
      <c r="CAC11" s="9"/>
      <c r="CAD11" s="6"/>
      <c r="CAO11" s="6"/>
      <c r="CAP11" s="6"/>
      <c r="CAQ11" s="9"/>
      <c r="CAR11" s="6"/>
      <c r="CBC11" s="6"/>
      <c r="CBD11" s="6"/>
      <c r="CBE11" s="9"/>
      <c r="CBF11" s="6"/>
      <c r="CBQ11" s="6"/>
      <c r="CBR11" s="6"/>
      <c r="CBS11" s="9"/>
      <c r="CBT11" s="6"/>
      <c r="CCE11" s="6"/>
      <c r="CCF11" s="6"/>
      <c r="CCG11" s="9"/>
      <c r="CCH11" s="6"/>
      <c r="CCS11" s="6"/>
      <c r="CCT11" s="6"/>
      <c r="CCU11" s="9"/>
      <c r="CCV11" s="6"/>
      <c r="CDG11" s="6"/>
      <c r="CDH11" s="6"/>
      <c r="CDI11" s="9"/>
      <c r="CDJ11" s="6"/>
      <c r="CDU11" s="6"/>
      <c r="CDV11" s="6"/>
      <c r="CDW11" s="9"/>
      <c r="CDX11" s="6"/>
      <c r="CEI11" s="6"/>
      <c r="CEJ11" s="6"/>
      <c r="CEK11" s="9"/>
      <c r="CEL11" s="6"/>
      <c r="CEW11" s="6"/>
      <c r="CEX11" s="6"/>
      <c r="CEY11" s="9"/>
      <c r="CEZ11" s="6"/>
      <c r="CFK11" s="6"/>
      <c r="CFL11" s="6"/>
      <c r="CFM11" s="9"/>
      <c r="CFN11" s="6"/>
      <c r="CFY11" s="6"/>
      <c r="CFZ11" s="6"/>
      <c r="CGA11" s="9"/>
      <c r="CGB11" s="6"/>
      <c r="CGM11" s="6"/>
      <c r="CGN11" s="6"/>
      <c r="CGO11" s="9"/>
      <c r="CGP11" s="6"/>
      <c r="CHA11" s="6"/>
      <c r="CHB11" s="6"/>
      <c r="CHC11" s="9"/>
      <c r="CHD11" s="6"/>
      <c r="CHO11" s="6"/>
      <c r="CHP11" s="6"/>
      <c r="CHQ11" s="9"/>
      <c r="CHR11" s="6"/>
      <c r="CIC11" s="6"/>
      <c r="CID11" s="6"/>
      <c r="CIE11" s="9"/>
      <c r="CIF11" s="6"/>
      <c r="CIQ11" s="6"/>
      <c r="CIR11" s="6"/>
      <c r="CIS11" s="9"/>
      <c r="CIT11" s="6"/>
      <c r="CJE11" s="6"/>
      <c r="CJF11" s="6"/>
      <c r="CJG11" s="9"/>
      <c r="CJH11" s="6"/>
      <c r="CJS11" s="6"/>
      <c r="CJT11" s="6"/>
      <c r="CJU11" s="9"/>
      <c r="CJV11" s="6"/>
      <c r="CKG11" s="6"/>
      <c r="CKH11" s="6"/>
      <c r="CKI11" s="9"/>
      <c r="CKJ11" s="6"/>
      <c r="CKU11" s="6"/>
      <c r="CKV11" s="6"/>
      <c r="CKW11" s="9"/>
      <c r="CKX11" s="6"/>
      <c r="CLI11" s="6"/>
      <c r="CLJ11" s="6"/>
      <c r="CLK11" s="9"/>
      <c r="CLL11" s="6"/>
      <c r="CLW11" s="6"/>
      <c r="CLX11" s="6"/>
      <c r="CLY11" s="9"/>
      <c r="CLZ11" s="6"/>
      <c r="CMK11" s="6"/>
      <c r="CML11" s="6"/>
      <c r="CMM11" s="9"/>
      <c r="CMN11" s="6"/>
      <c r="CMY11" s="6"/>
      <c r="CMZ11" s="6"/>
      <c r="CNA11" s="9"/>
      <c r="CNB11" s="6"/>
      <c r="CNM11" s="6"/>
      <c r="CNN11" s="6"/>
      <c r="CNO11" s="9"/>
      <c r="CNP11" s="6"/>
      <c r="COA11" s="6"/>
      <c r="COB11" s="6"/>
      <c r="COC11" s="9"/>
      <c r="COD11" s="6"/>
      <c r="COO11" s="6"/>
      <c r="COP11" s="6"/>
      <c r="COQ11" s="9"/>
      <c r="COR11" s="6"/>
      <c r="CPC11" s="6"/>
      <c r="CPD11" s="6"/>
      <c r="CPE11" s="9"/>
      <c r="CPF11" s="6"/>
      <c r="CPQ11" s="6"/>
      <c r="CPR11" s="6"/>
      <c r="CPS11" s="9"/>
      <c r="CPT11" s="6"/>
      <c r="CQE11" s="6"/>
      <c r="CQF11" s="6"/>
      <c r="CQG11" s="9"/>
      <c r="CQH11" s="6"/>
      <c r="CQS11" s="6"/>
      <c r="CQT11" s="6"/>
      <c r="CQU11" s="9"/>
      <c r="CQV11" s="6"/>
      <c r="CRG11" s="6"/>
      <c r="CRH11" s="6"/>
      <c r="CRI11" s="9"/>
      <c r="CRJ11" s="6"/>
      <c r="CRU11" s="6"/>
      <c r="CRV11" s="6"/>
      <c r="CRW11" s="9"/>
      <c r="CRX11" s="6"/>
      <c r="CSI11" s="6"/>
      <c r="CSJ11" s="6"/>
      <c r="CSK11" s="9"/>
      <c r="CSL11" s="6"/>
      <c r="CSW11" s="6"/>
      <c r="CSX11" s="6"/>
      <c r="CSY11" s="9"/>
      <c r="CSZ11" s="6"/>
      <c r="CTK11" s="6"/>
      <c r="CTL11" s="6"/>
      <c r="CTM11" s="9"/>
      <c r="CTN11" s="6"/>
      <c r="CTY11" s="6"/>
      <c r="CTZ11" s="6"/>
      <c r="CUA11" s="9"/>
      <c r="CUB11" s="6"/>
      <c r="CUM11" s="6"/>
      <c r="CUN11" s="6"/>
      <c r="CUO11" s="9"/>
      <c r="CUP11" s="6"/>
      <c r="CVA11" s="6"/>
      <c r="CVB11" s="6"/>
      <c r="CVC11" s="9"/>
      <c r="CVD11" s="6"/>
      <c r="CVO11" s="6"/>
      <c r="CVP11" s="6"/>
      <c r="CVQ11" s="9"/>
      <c r="CVR11" s="6"/>
      <c r="CWC11" s="6"/>
      <c r="CWD11" s="6"/>
      <c r="CWE11" s="9"/>
      <c r="CWF11" s="6"/>
      <c r="CWQ11" s="6"/>
      <c r="CWR11" s="6"/>
      <c r="CWS11" s="9"/>
      <c r="CWT11" s="6"/>
      <c r="CXE11" s="6"/>
      <c r="CXF11" s="6"/>
      <c r="CXG11" s="9"/>
      <c r="CXH11" s="6"/>
      <c r="CXS11" s="6"/>
      <c r="CXT11" s="6"/>
      <c r="CXU11" s="9"/>
      <c r="CXV11" s="6"/>
      <c r="CYG11" s="6"/>
      <c r="CYH11" s="6"/>
      <c r="CYI11" s="9"/>
      <c r="CYJ11" s="6"/>
      <c r="CYU11" s="6"/>
      <c r="CYV11" s="6"/>
      <c r="CYW11" s="9"/>
      <c r="CYX11" s="6"/>
      <c r="CZI11" s="6"/>
      <c r="CZJ11" s="6"/>
      <c r="CZK11" s="9"/>
      <c r="CZL11" s="6"/>
      <c r="CZW11" s="6"/>
      <c r="CZX11" s="6"/>
      <c r="CZY11" s="9"/>
      <c r="CZZ11" s="6"/>
      <c r="DAK11" s="6"/>
      <c r="DAL11" s="6"/>
      <c r="DAM11" s="9"/>
      <c r="DAN11" s="6"/>
      <c r="DAY11" s="6"/>
      <c r="DAZ11" s="6"/>
      <c r="DBA11" s="9"/>
      <c r="DBB11" s="6"/>
      <c r="DBM11" s="6"/>
      <c r="DBN11" s="6"/>
      <c r="DBO11" s="9"/>
      <c r="DBP11" s="6"/>
      <c r="DCA11" s="6"/>
      <c r="DCB11" s="6"/>
      <c r="DCC11" s="9"/>
      <c r="DCD11" s="6"/>
      <c r="DCO11" s="6"/>
      <c r="DCP11" s="6"/>
      <c r="DCQ11" s="9"/>
      <c r="DCR11" s="6"/>
      <c r="DDC11" s="6"/>
      <c r="DDD11" s="6"/>
      <c r="DDE11" s="9"/>
      <c r="DDF11" s="6"/>
      <c r="DDQ11" s="6"/>
      <c r="DDR11" s="6"/>
      <c r="DDS11" s="9"/>
      <c r="DDT11" s="6"/>
      <c r="DEE11" s="6"/>
      <c r="DEF11" s="6"/>
      <c r="DEG11" s="9"/>
      <c r="DEH11" s="6"/>
      <c r="DES11" s="6"/>
      <c r="DET11" s="6"/>
      <c r="DEU11" s="9"/>
      <c r="DEV11" s="6"/>
      <c r="DFG11" s="6"/>
      <c r="DFH11" s="6"/>
      <c r="DFI11" s="9"/>
      <c r="DFJ11" s="6"/>
      <c r="DFU11" s="6"/>
      <c r="DFV11" s="6"/>
      <c r="DFW11" s="9"/>
      <c r="DFX11" s="6"/>
      <c r="DGI11" s="6"/>
      <c r="DGJ11" s="6"/>
      <c r="DGK11" s="9"/>
      <c r="DGL11" s="6"/>
      <c r="DGW11" s="6"/>
      <c r="DGX11" s="6"/>
      <c r="DGY11" s="9"/>
      <c r="DGZ11" s="6"/>
      <c r="DHK11" s="6"/>
      <c r="DHL11" s="6"/>
      <c r="DHM11" s="9"/>
      <c r="DHN11" s="6"/>
      <c r="DHY11" s="6"/>
      <c r="DHZ11" s="6"/>
      <c r="DIA11" s="9"/>
      <c r="DIB11" s="6"/>
      <c r="DIM11" s="6"/>
      <c r="DIN11" s="6"/>
      <c r="DIO11" s="9"/>
      <c r="DIP11" s="6"/>
      <c r="DJA11" s="6"/>
      <c r="DJB11" s="6"/>
      <c r="DJC11" s="9"/>
      <c r="DJD11" s="6"/>
      <c r="DJO11" s="6"/>
      <c r="DJP11" s="6"/>
      <c r="DJQ11" s="9"/>
      <c r="DJR11" s="6"/>
      <c r="DKC11" s="6"/>
      <c r="DKD11" s="6"/>
      <c r="DKE11" s="9"/>
      <c r="DKF11" s="6"/>
      <c r="DKQ11" s="6"/>
      <c r="DKR11" s="6"/>
      <c r="DKS11" s="9"/>
      <c r="DKT11" s="6"/>
      <c r="DLE11" s="6"/>
      <c r="DLF11" s="6"/>
      <c r="DLG11" s="9"/>
      <c r="DLH11" s="6"/>
      <c r="DLS11" s="6"/>
      <c r="DLT11" s="6"/>
      <c r="DLU11" s="9"/>
      <c r="DLV11" s="6"/>
      <c r="DMG11" s="6"/>
      <c r="DMH11" s="6"/>
      <c r="DMI11" s="9"/>
      <c r="DMJ11" s="6"/>
      <c r="DMU11" s="6"/>
      <c r="DMV11" s="6"/>
      <c r="DMW11" s="9"/>
      <c r="DMX11" s="6"/>
      <c r="DNI11" s="6"/>
      <c r="DNJ11" s="6"/>
      <c r="DNK11" s="9"/>
      <c r="DNL11" s="6"/>
      <c r="DNW11" s="6"/>
      <c r="DNX11" s="6"/>
      <c r="DNY11" s="9"/>
      <c r="DNZ11" s="6"/>
      <c r="DOK11" s="6"/>
      <c r="DOL11" s="6"/>
      <c r="DOM11" s="9"/>
      <c r="DON11" s="6"/>
      <c r="DOY11" s="6"/>
      <c r="DOZ11" s="6"/>
      <c r="DPA11" s="9"/>
      <c r="DPB11" s="6"/>
      <c r="DPM11" s="6"/>
      <c r="DPN11" s="6"/>
      <c r="DPO11" s="9"/>
      <c r="DPP11" s="6"/>
      <c r="DQA11" s="6"/>
      <c r="DQB11" s="6"/>
      <c r="DQC11" s="9"/>
      <c r="DQD11" s="6"/>
      <c r="DQO11" s="6"/>
      <c r="DQP11" s="6"/>
      <c r="DQQ11" s="9"/>
      <c r="DQR11" s="6"/>
      <c r="DRC11" s="6"/>
      <c r="DRD11" s="6"/>
      <c r="DRE11" s="9"/>
      <c r="DRF11" s="6"/>
      <c r="DRQ11" s="6"/>
      <c r="DRR11" s="6"/>
      <c r="DRS11" s="9"/>
      <c r="DRT11" s="6"/>
      <c r="DSE11" s="6"/>
      <c r="DSF11" s="6"/>
      <c r="DSG11" s="9"/>
      <c r="DSH11" s="6"/>
      <c r="DSS11" s="6"/>
      <c r="DST11" s="6"/>
      <c r="DSU11" s="9"/>
      <c r="DSV11" s="6"/>
      <c r="DTG11" s="6"/>
      <c r="DTH11" s="6"/>
      <c r="DTI11" s="9"/>
      <c r="DTJ11" s="6"/>
      <c r="DTU11" s="6"/>
      <c r="DTV11" s="6"/>
      <c r="DTW11" s="9"/>
      <c r="DTX11" s="6"/>
      <c r="DUI11" s="6"/>
      <c r="DUJ11" s="6"/>
      <c r="DUK11" s="9"/>
      <c r="DUL11" s="6"/>
      <c r="DUW11" s="6"/>
      <c r="DUX11" s="6"/>
      <c r="DUY11" s="9"/>
      <c r="DUZ11" s="6"/>
      <c r="DVK11" s="6"/>
      <c r="DVL11" s="6"/>
      <c r="DVM11" s="9"/>
      <c r="DVN11" s="6"/>
      <c r="DVY11" s="6"/>
      <c r="DVZ11" s="6"/>
      <c r="DWA11" s="9"/>
      <c r="DWB11" s="6"/>
      <c r="DWM11" s="6"/>
      <c r="DWN11" s="6"/>
      <c r="DWO11" s="9"/>
      <c r="DWP11" s="6"/>
      <c r="DXA11" s="6"/>
      <c r="DXB11" s="6"/>
      <c r="DXC11" s="9"/>
      <c r="DXD11" s="6"/>
      <c r="DXO11" s="6"/>
      <c r="DXP11" s="6"/>
      <c r="DXQ11" s="9"/>
      <c r="DXR11" s="6"/>
      <c r="DYC11" s="6"/>
      <c r="DYD11" s="6"/>
      <c r="DYE11" s="9"/>
      <c r="DYF11" s="6"/>
      <c r="DYQ11" s="6"/>
      <c r="DYR11" s="6"/>
      <c r="DYS11" s="9"/>
      <c r="DYT11" s="6"/>
      <c r="DZE11" s="6"/>
      <c r="DZF11" s="6"/>
      <c r="DZG11" s="9"/>
      <c r="DZH11" s="6"/>
      <c r="DZS11" s="6"/>
      <c r="DZT11" s="6"/>
      <c r="DZU11" s="9"/>
      <c r="DZV11" s="6"/>
      <c r="EAG11" s="6"/>
      <c r="EAH11" s="6"/>
      <c r="EAI11" s="9"/>
      <c r="EAJ11" s="6"/>
      <c r="EAU11" s="6"/>
      <c r="EAV11" s="6"/>
      <c r="EAW11" s="9"/>
      <c r="EAX11" s="6"/>
      <c r="EBI11" s="6"/>
      <c r="EBJ11" s="6"/>
      <c r="EBK11" s="9"/>
      <c r="EBL11" s="6"/>
      <c r="EBW11" s="6"/>
      <c r="EBX11" s="6"/>
      <c r="EBY11" s="9"/>
      <c r="EBZ11" s="6"/>
      <c r="ECK11" s="6"/>
      <c r="ECL11" s="6"/>
      <c r="ECM11" s="9"/>
      <c r="ECN11" s="6"/>
      <c r="ECY11" s="6"/>
      <c r="ECZ11" s="6"/>
      <c r="EDA11" s="9"/>
      <c r="EDB11" s="6"/>
      <c r="EDM11" s="6"/>
      <c r="EDN11" s="6"/>
      <c r="EDO11" s="9"/>
      <c r="EDP11" s="6"/>
      <c r="EEA11" s="6"/>
      <c r="EEB11" s="6"/>
      <c r="EEC11" s="9"/>
      <c r="EED11" s="6"/>
      <c r="EEO11" s="6"/>
      <c r="EEP11" s="6"/>
      <c r="EEQ11" s="9"/>
      <c r="EER11" s="6"/>
      <c r="EFC11" s="6"/>
      <c r="EFD11" s="6"/>
      <c r="EFE11" s="9"/>
      <c r="EFF11" s="6"/>
      <c r="EFQ11" s="6"/>
      <c r="EFR11" s="6"/>
      <c r="EFS11" s="9"/>
      <c r="EFT11" s="6"/>
      <c r="EGE11" s="6"/>
      <c r="EGF11" s="6"/>
      <c r="EGG11" s="9"/>
      <c r="EGH11" s="6"/>
      <c r="EGS11" s="6"/>
      <c r="EGT11" s="6"/>
      <c r="EGU11" s="9"/>
      <c r="EGV11" s="6"/>
      <c r="EHG11" s="6"/>
      <c r="EHH11" s="6"/>
      <c r="EHI11" s="9"/>
      <c r="EHJ11" s="6"/>
      <c r="EHU11" s="6"/>
      <c r="EHV11" s="6"/>
      <c r="EHW11" s="9"/>
      <c r="EHX11" s="6"/>
      <c r="EII11" s="6"/>
      <c r="EIJ11" s="6"/>
      <c r="EIK11" s="9"/>
      <c r="EIL11" s="6"/>
      <c r="EIW11" s="6"/>
      <c r="EIX11" s="6"/>
      <c r="EIY11" s="9"/>
      <c r="EIZ11" s="6"/>
      <c r="EJK11" s="6"/>
      <c r="EJL11" s="6"/>
      <c r="EJM11" s="9"/>
      <c r="EJN11" s="6"/>
      <c r="EJY11" s="6"/>
      <c r="EJZ11" s="6"/>
      <c r="EKA11" s="9"/>
      <c r="EKB11" s="6"/>
      <c r="EKM11" s="6"/>
      <c r="EKN11" s="6"/>
      <c r="EKO11" s="9"/>
      <c r="EKP11" s="6"/>
      <c r="ELA11" s="6"/>
      <c r="ELB11" s="6"/>
      <c r="ELC11" s="9"/>
      <c r="ELD11" s="6"/>
      <c r="ELO11" s="6"/>
      <c r="ELP11" s="6"/>
      <c r="ELQ11" s="9"/>
      <c r="ELR11" s="6"/>
      <c r="EMC11" s="6"/>
      <c r="EMD11" s="6"/>
      <c r="EME11" s="9"/>
      <c r="EMF11" s="6"/>
      <c r="EMQ11" s="6"/>
      <c r="EMR11" s="6"/>
      <c r="EMS11" s="9"/>
      <c r="EMT11" s="6"/>
      <c r="ENE11" s="6"/>
      <c r="ENF11" s="6"/>
      <c r="ENG11" s="9"/>
      <c r="ENH11" s="6"/>
      <c r="ENS11" s="6"/>
      <c r="ENT11" s="6"/>
      <c r="ENU11" s="9"/>
      <c r="ENV11" s="6"/>
      <c r="EOG11" s="6"/>
      <c r="EOH11" s="6"/>
      <c r="EOI11" s="9"/>
      <c r="EOJ11" s="6"/>
      <c r="EOU11" s="6"/>
      <c r="EOV11" s="6"/>
      <c r="EOW11" s="9"/>
      <c r="EOX11" s="6"/>
      <c r="EPI11" s="6"/>
      <c r="EPJ11" s="6"/>
      <c r="EPK11" s="9"/>
      <c r="EPL11" s="6"/>
      <c r="EPW11" s="6"/>
      <c r="EPX11" s="6"/>
      <c r="EPY11" s="9"/>
      <c r="EPZ11" s="6"/>
      <c r="EQK11" s="6"/>
      <c r="EQL11" s="6"/>
      <c r="EQM11" s="9"/>
      <c r="EQN11" s="6"/>
      <c r="EQY11" s="6"/>
      <c r="EQZ11" s="6"/>
      <c r="ERA11" s="9"/>
      <c r="ERB11" s="6"/>
      <c r="ERM11" s="6"/>
      <c r="ERN11" s="6"/>
      <c r="ERO11" s="9"/>
      <c r="ERP11" s="6"/>
      <c r="ESA11" s="6"/>
      <c r="ESB11" s="6"/>
      <c r="ESC11" s="9"/>
      <c r="ESD11" s="6"/>
      <c r="ESO11" s="6"/>
      <c r="ESP11" s="6"/>
      <c r="ESQ11" s="9"/>
      <c r="ESR11" s="6"/>
      <c r="ETC11" s="6"/>
      <c r="ETD11" s="6"/>
      <c r="ETE11" s="9"/>
      <c r="ETF11" s="6"/>
      <c r="ETQ11" s="6"/>
      <c r="ETR11" s="6"/>
      <c r="ETS11" s="9"/>
      <c r="ETT11" s="6"/>
      <c r="EUE11" s="6"/>
      <c r="EUF11" s="6"/>
      <c r="EUG11" s="9"/>
      <c r="EUH11" s="6"/>
      <c r="EUS11" s="6"/>
      <c r="EUT11" s="6"/>
      <c r="EUU11" s="9"/>
      <c r="EUV11" s="6"/>
      <c r="EVG11" s="6"/>
      <c r="EVH11" s="6"/>
      <c r="EVI11" s="9"/>
      <c r="EVJ11" s="6"/>
      <c r="EVU11" s="6"/>
      <c r="EVV11" s="6"/>
      <c r="EVW11" s="9"/>
      <c r="EVX11" s="6"/>
      <c r="EWI11" s="6"/>
      <c r="EWJ11" s="6"/>
      <c r="EWK11" s="9"/>
      <c r="EWL11" s="6"/>
      <c r="EWW11" s="6"/>
      <c r="EWX11" s="6"/>
      <c r="EWY11" s="9"/>
      <c r="EWZ11" s="6"/>
      <c r="EXK11" s="6"/>
      <c r="EXL11" s="6"/>
      <c r="EXM11" s="9"/>
      <c r="EXN11" s="6"/>
      <c r="EXY11" s="6"/>
      <c r="EXZ11" s="6"/>
      <c r="EYA11" s="9"/>
      <c r="EYB11" s="6"/>
      <c r="EYM11" s="6"/>
      <c r="EYN11" s="6"/>
      <c r="EYO11" s="9"/>
      <c r="EYP11" s="6"/>
      <c r="EZA11" s="6"/>
      <c r="EZB11" s="6"/>
      <c r="EZC11" s="9"/>
      <c r="EZD11" s="6"/>
      <c r="EZO11" s="6"/>
      <c r="EZP11" s="6"/>
      <c r="EZQ11" s="9"/>
      <c r="EZR11" s="6"/>
      <c r="FAC11" s="6"/>
      <c r="FAD11" s="6"/>
      <c r="FAE11" s="9"/>
      <c r="FAF11" s="6"/>
      <c r="FAQ11" s="6"/>
      <c r="FAR11" s="6"/>
      <c r="FAS11" s="9"/>
      <c r="FAT11" s="6"/>
      <c r="FBE11" s="6"/>
      <c r="FBF11" s="6"/>
      <c r="FBG11" s="9"/>
      <c r="FBH11" s="6"/>
      <c r="FBS11" s="6"/>
      <c r="FBT11" s="6"/>
      <c r="FBU11" s="9"/>
      <c r="FBV11" s="6"/>
      <c r="FCG11" s="6"/>
      <c r="FCH11" s="6"/>
      <c r="FCI11" s="9"/>
      <c r="FCJ11" s="6"/>
      <c r="FCU11" s="6"/>
      <c r="FCV11" s="6"/>
      <c r="FCW11" s="9"/>
      <c r="FCX11" s="6"/>
      <c r="FDI11" s="6"/>
      <c r="FDJ11" s="6"/>
      <c r="FDK11" s="9"/>
      <c r="FDL11" s="6"/>
      <c r="FDW11" s="6"/>
      <c r="FDX11" s="6"/>
      <c r="FDY11" s="9"/>
      <c r="FDZ11" s="6"/>
      <c r="FEK11" s="6"/>
      <c r="FEL11" s="6"/>
      <c r="FEM11" s="9"/>
      <c r="FEN11" s="6"/>
      <c r="FEY11" s="6"/>
      <c r="FEZ11" s="6"/>
      <c r="FFA11" s="9"/>
      <c r="FFB11" s="6"/>
      <c r="FFM11" s="6"/>
      <c r="FFN11" s="6"/>
      <c r="FFO11" s="9"/>
      <c r="FFP11" s="6"/>
      <c r="FGA11" s="6"/>
      <c r="FGB11" s="6"/>
      <c r="FGC11" s="9"/>
      <c r="FGD11" s="6"/>
      <c r="FGO11" s="6"/>
      <c r="FGP11" s="6"/>
      <c r="FGQ11" s="9"/>
      <c r="FGR11" s="6"/>
      <c r="FHC11" s="6"/>
      <c r="FHD11" s="6"/>
      <c r="FHE11" s="9"/>
      <c r="FHF11" s="6"/>
      <c r="FHQ11" s="6"/>
      <c r="FHR11" s="6"/>
      <c r="FHS11" s="9"/>
      <c r="FHT11" s="6"/>
      <c r="FIE11" s="6"/>
      <c r="FIF11" s="6"/>
      <c r="FIG11" s="9"/>
      <c r="FIH11" s="6"/>
      <c r="FIS11" s="6"/>
      <c r="FIT11" s="6"/>
      <c r="FIU11" s="9"/>
      <c r="FIV11" s="6"/>
      <c r="FJG11" s="6"/>
      <c r="FJH11" s="6"/>
      <c r="FJI11" s="9"/>
      <c r="FJJ11" s="6"/>
      <c r="FJU11" s="6"/>
      <c r="FJV11" s="6"/>
      <c r="FJW11" s="9"/>
      <c r="FJX11" s="6"/>
      <c r="FKI11" s="6"/>
      <c r="FKJ11" s="6"/>
      <c r="FKK11" s="9"/>
      <c r="FKL11" s="6"/>
      <c r="FKW11" s="6"/>
      <c r="FKX11" s="6"/>
      <c r="FKY11" s="9"/>
      <c r="FKZ11" s="6"/>
      <c r="FLK11" s="6"/>
      <c r="FLL11" s="6"/>
      <c r="FLM11" s="9"/>
      <c r="FLN11" s="6"/>
      <c r="FLY11" s="6"/>
      <c r="FLZ11" s="6"/>
      <c r="FMA11" s="9"/>
      <c r="FMB11" s="6"/>
      <c r="FMM11" s="6"/>
      <c r="FMN11" s="6"/>
      <c r="FMO11" s="9"/>
      <c r="FMP11" s="6"/>
      <c r="FNA11" s="6"/>
      <c r="FNB11" s="6"/>
      <c r="FNC11" s="9"/>
      <c r="FND11" s="6"/>
      <c r="FNO11" s="6"/>
      <c r="FNP11" s="6"/>
      <c r="FNQ11" s="9"/>
      <c r="FNR11" s="6"/>
      <c r="FOC11" s="6"/>
      <c r="FOD11" s="6"/>
      <c r="FOE11" s="9"/>
      <c r="FOF11" s="6"/>
      <c r="FOQ11" s="6"/>
      <c r="FOR11" s="6"/>
      <c r="FOS11" s="9"/>
      <c r="FOT11" s="6"/>
      <c r="FPE11" s="6"/>
      <c r="FPF11" s="6"/>
      <c r="FPG11" s="9"/>
      <c r="FPH11" s="6"/>
      <c r="FPS11" s="6"/>
      <c r="FPT11" s="6"/>
      <c r="FPU11" s="9"/>
      <c r="FPV11" s="6"/>
      <c r="FQG11" s="6"/>
      <c r="FQH11" s="6"/>
      <c r="FQI11" s="9"/>
      <c r="FQJ11" s="6"/>
      <c r="FQU11" s="6"/>
      <c r="FQV11" s="6"/>
      <c r="FQW11" s="9"/>
      <c r="FQX11" s="6"/>
      <c r="FRI11" s="6"/>
      <c r="FRJ11" s="6"/>
      <c r="FRK11" s="9"/>
      <c r="FRL11" s="6"/>
      <c r="FRW11" s="6"/>
      <c r="FRX11" s="6"/>
      <c r="FRY11" s="9"/>
      <c r="FRZ11" s="6"/>
      <c r="FSK11" s="6"/>
      <c r="FSL11" s="6"/>
      <c r="FSM11" s="9"/>
      <c r="FSN11" s="6"/>
      <c r="FSY11" s="6"/>
      <c r="FSZ11" s="6"/>
      <c r="FTA11" s="9"/>
      <c r="FTB11" s="6"/>
      <c r="FTM11" s="6"/>
      <c r="FTN11" s="6"/>
      <c r="FTO11" s="9"/>
      <c r="FTP11" s="6"/>
      <c r="FUA11" s="6"/>
      <c r="FUB11" s="6"/>
      <c r="FUC11" s="9"/>
      <c r="FUD11" s="6"/>
      <c r="FUO11" s="6"/>
      <c r="FUP11" s="6"/>
      <c r="FUQ11" s="9"/>
      <c r="FUR11" s="6"/>
      <c r="FVC11" s="6"/>
      <c r="FVD11" s="6"/>
      <c r="FVE11" s="9"/>
      <c r="FVF11" s="6"/>
      <c r="FVQ11" s="6"/>
      <c r="FVR11" s="6"/>
      <c r="FVS11" s="9"/>
      <c r="FVT11" s="6"/>
      <c r="FWE11" s="6"/>
      <c r="FWF11" s="6"/>
      <c r="FWG11" s="9"/>
      <c r="FWH11" s="6"/>
      <c r="FWS11" s="6"/>
      <c r="FWT11" s="6"/>
      <c r="FWU11" s="9"/>
      <c r="FWV11" s="6"/>
      <c r="FXG11" s="6"/>
      <c r="FXH11" s="6"/>
      <c r="FXI11" s="9"/>
      <c r="FXJ11" s="6"/>
      <c r="FXU11" s="6"/>
      <c r="FXV11" s="6"/>
      <c r="FXW11" s="9"/>
      <c r="FXX11" s="6"/>
      <c r="FYI11" s="6"/>
      <c r="FYJ11" s="6"/>
      <c r="FYK11" s="9"/>
      <c r="FYL11" s="6"/>
      <c r="FYW11" s="6"/>
      <c r="FYX11" s="6"/>
      <c r="FYY11" s="9"/>
      <c r="FYZ11" s="6"/>
      <c r="FZK11" s="6"/>
      <c r="FZL11" s="6"/>
      <c r="FZM11" s="9"/>
      <c r="FZN11" s="6"/>
      <c r="FZY11" s="6"/>
      <c r="FZZ11" s="6"/>
      <c r="GAA11" s="9"/>
      <c r="GAB11" s="6"/>
      <c r="GAM11" s="6"/>
      <c r="GAN11" s="6"/>
      <c r="GAO11" s="9"/>
      <c r="GAP11" s="6"/>
      <c r="GBA11" s="6"/>
      <c r="GBB11" s="6"/>
      <c r="GBC11" s="9"/>
      <c r="GBD11" s="6"/>
      <c r="GBO11" s="6"/>
      <c r="GBP11" s="6"/>
      <c r="GBQ11" s="9"/>
      <c r="GBR11" s="6"/>
      <c r="GCC11" s="6"/>
      <c r="GCD11" s="6"/>
      <c r="GCE11" s="9"/>
      <c r="GCF11" s="6"/>
      <c r="GCQ11" s="6"/>
      <c r="GCR11" s="6"/>
      <c r="GCS11" s="9"/>
      <c r="GCT11" s="6"/>
      <c r="GDE11" s="6"/>
      <c r="GDF11" s="6"/>
      <c r="GDG11" s="9"/>
      <c r="GDH11" s="6"/>
      <c r="GDS11" s="6"/>
      <c r="GDT11" s="6"/>
      <c r="GDU11" s="9"/>
      <c r="GDV11" s="6"/>
      <c r="GEG11" s="6"/>
      <c r="GEH11" s="6"/>
      <c r="GEI11" s="9"/>
      <c r="GEJ11" s="6"/>
      <c r="GEU11" s="6"/>
      <c r="GEV11" s="6"/>
      <c r="GEW11" s="9"/>
      <c r="GEX11" s="6"/>
      <c r="GFI11" s="6"/>
      <c r="GFJ11" s="6"/>
      <c r="GFK11" s="9"/>
      <c r="GFL11" s="6"/>
      <c r="GFW11" s="6"/>
      <c r="GFX11" s="6"/>
      <c r="GFY11" s="9"/>
      <c r="GFZ11" s="6"/>
      <c r="GGK11" s="6"/>
      <c r="GGL11" s="6"/>
      <c r="GGM11" s="9"/>
      <c r="GGN11" s="6"/>
      <c r="GGY11" s="6"/>
      <c r="GGZ11" s="6"/>
      <c r="GHA11" s="9"/>
      <c r="GHB11" s="6"/>
      <c r="GHM11" s="6"/>
      <c r="GHN11" s="6"/>
      <c r="GHO11" s="9"/>
      <c r="GHP11" s="6"/>
      <c r="GIA11" s="6"/>
      <c r="GIB11" s="6"/>
      <c r="GIC11" s="9"/>
      <c r="GID11" s="6"/>
      <c r="GIO11" s="6"/>
      <c r="GIP11" s="6"/>
      <c r="GIQ11" s="9"/>
      <c r="GIR11" s="6"/>
      <c r="GJC11" s="6"/>
      <c r="GJD11" s="6"/>
      <c r="GJE11" s="9"/>
      <c r="GJF11" s="6"/>
      <c r="GJQ11" s="6"/>
      <c r="GJR11" s="6"/>
      <c r="GJS11" s="9"/>
      <c r="GJT11" s="6"/>
      <c r="GKE11" s="6"/>
      <c r="GKF11" s="6"/>
      <c r="GKG11" s="9"/>
      <c r="GKH11" s="6"/>
      <c r="GKS11" s="6"/>
      <c r="GKT11" s="6"/>
      <c r="GKU11" s="9"/>
      <c r="GKV11" s="6"/>
      <c r="GLG11" s="6"/>
      <c r="GLH11" s="6"/>
      <c r="GLI11" s="9"/>
      <c r="GLJ11" s="6"/>
      <c r="GLU11" s="6"/>
      <c r="GLV11" s="6"/>
      <c r="GLW11" s="9"/>
      <c r="GLX11" s="6"/>
      <c r="GMI11" s="6"/>
      <c r="GMJ11" s="6"/>
      <c r="GMK11" s="9"/>
      <c r="GML11" s="6"/>
      <c r="GMW11" s="6"/>
      <c r="GMX11" s="6"/>
      <c r="GMY11" s="9"/>
      <c r="GMZ11" s="6"/>
      <c r="GNK11" s="6"/>
      <c r="GNL11" s="6"/>
      <c r="GNM11" s="9"/>
      <c r="GNN11" s="6"/>
      <c r="GNY11" s="6"/>
      <c r="GNZ11" s="6"/>
      <c r="GOA11" s="9"/>
      <c r="GOB11" s="6"/>
      <c r="GOM11" s="6"/>
      <c r="GON11" s="6"/>
      <c r="GOO11" s="9"/>
      <c r="GOP11" s="6"/>
      <c r="GPA11" s="6"/>
      <c r="GPB11" s="6"/>
      <c r="GPC11" s="9"/>
      <c r="GPD11" s="6"/>
      <c r="GPO11" s="6"/>
      <c r="GPP11" s="6"/>
      <c r="GPQ11" s="9"/>
      <c r="GPR11" s="6"/>
      <c r="GQC11" s="6"/>
      <c r="GQD11" s="6"/>
      <c r="GQE11" s="9"/>
      <c r="GQF11" s="6"/>
      <c r="GQQ11" s="6"/>
      <c r="GQR11" s="6"/>
      <c r="GQS11" s="9"/>
      <c r="GQT11" s="6"/>
      <c r="GRE11" s="6"/>
      <c r="GRF11" s="6"/>
      <c r="GRG11" s="9"/>
      <c r="GRH11" s="6"/>
      <c r="GRS11" s="6"/>
      <c r="GRT11" s="6"/>
      <c r="GRU11" s="9"/>
      <c r="GRV11" s="6"/>
      <c r="GSG11" s="6"/>
      <c r="GSH11" s="6"/>
      <c r="GSI11" s="9"/>
      <c r="GSJ11" s="6"/>
      <c r="GSU11" s="6"/>
      <c r="GSV11" s="6"/>
      <c r="GSW11" s="9"/>
      <c r="GSX11" s="6"/>
      <c r="GTI11" s="6"/>
      <c r="GTJ11" s="6"/>
      <c r="GTK11" s="9"/>
      <c r="GTL11" s="6"/>
      <c r="GTW11" s="6"/>
      <c r="GTX11" s="6"/>
      <c r="GTY11" s="9"/>
      <c r="GTZ11" s="6"/>
      <c r="GUK11" s="6"/>
      <c r="GUL11" s="6"/>
      <c r="GUM11" s="9"/>
      <c r="GUN11" s="6"/>
      <c r="GUY11" s="6"/>
      <c r="GUZ11" s="6"/>
      <c r="GVA11" s="9"/>
      <c r="GVB11" s="6"/>
      <c r="GVM11" s="6"/>
      <c r="GVN11" s="6"/>
      <c r="GVO11" s="9"/>
      <c r="GVP11" s="6"/>
      <c r="GWA11" s="6"/>
      <c r="GWB11" s="6"/>
      <c r="GWC11" s="9"/>
      <c r="GWD11" s="6"/>
      <c r="GWO11" s="6"/>
      <c r="GWP11" s="6"/>
      <c r="GWQ11" s="9"/>
      <c r="GWR11" s="6"/>
      <c r="GXC11" s="6"/>
      <c r="GXD11" s="6"/>
      <c r="GXE11" s="9"/>
      <c r="GXF11" s="6"/>
      <c r="GXQ11" s="6"/>
      <c r="GXR11" s="6"/>
      <c r="GXS11" s="9"/>
      <c r="GXT11" s="6"/>
      <c r="GYE11" s="6"/>
      <c r="GYF11" s="6"/>
      <c r="GYG11" s="9"/>
      <c r="GYH11" s="6"/>
      <c r="GYS11" s="6"/>
      <c r="GYT11" s="6"/>
      <c r="GYU11" s="9"/>
      <c r="GYV11" s="6"/>
      <c r="GZG11" s="6"/>
      <c r="GZH11" s="6"/>
      <c r="GZI11" s="9"/>
      <c r="GZJ11" s="6"/>
      <c r="GZU11" s="6"/>
      <c r="GZV11" s="6"/>
      <c r="GZW11" s="9"/>
      <c r="GZX11" s="6"/>
      <c r="HAI11" s="6"/>
      <c r="HAJ11" s="6"/>
      <c r="HAK11" s="9"/>
      <c r="HAL11" s="6"/>
      <c r="HAW11" s="6"/>
      <c r="HAX11" s="6"/>
      <c r="HAY11" s="9"/>
      <c r="HAZ11" s="6"/>
      <c r="HBK11" s="6"/>
      <c r="HBL11" s="6"/>
      <c r="HBM11" s="9"/>
      <c r="HBN11" s="6"/>
      <c r="HBY11" s="6"/>
      <c r="HBZ11" s="6"/>
      <c r="HCA11" s="9"/>
      <c r="HCB11" s="6"/>
      <c r="HCM11" s="6"/>
      <c r="HCN11" s="6"/>
      <c r="HCO11" s="9"/>
      <c r="HCP11" s="6"/>
      <c r="HDA11" s="6"/>
      <c r="HDB11" s="6"/>
      <c r="HDC11" s="9"/>
      <c r="HDD11" s="6"/>
      <c r="HDO11" s="6"/>
      <c r="HDP11" s="6"/>
      <c r="HDQ11" s="9"/>
      <c r="HDR11" s="6"/>
      <c r="HEC11" s="6"/>
      <c r="HED11" s="6"/>
      <c r="HEE11" s="9"/>
      <c r="HEF11" s="6"/>
      <c r="HEQ11" s="6"/>
      <c r="HER11" s="6"/>
      <c r="HES11" s="9"/>
      <c r="HET11" s="6"/>
      <c r="HFE11" s="6"/>
      <c r="HFF11" s="6"/>
      <c r="HFG11" s="9"/>
      <c r="HFH11" s="6"/>
      <c r="HFS11" s="6"/>
      <c r="HFT11" s="6"/>
      <c r="HFU11" s="9"/>
      <c r="HFV11" s="6"/>
      <c r="HGG11" s="6"/>
      <c r="HGH11" s="6"/>
      <c r="HGI11" s="9"/>
      <c r="HGJ11" s="6"/>
      <c r="HGU11" s="6"/>
      <c r="HGV11" s="6"/>
      <c r="HGW11" s="9"/>
      <c r="HGX11" s="6"/>
      <c r="HHI11" s="6"/>
      <c r="HHJ11" s="6"/>
      <c r="HHK11" s="9"/>
      <c r="HHL11" s="6"/>
      <c r="HHW11" s="6"/>
      <c r="HHX11" s="6"/>
      <c r="HHY11" s="9"/>
      <c r="HHZ11" s="6"/>
      <c r="HIK11" s="6"/>
      <c r="HIL11" s="6"/>
      <c r="HIM11" s="9"/>
      <c r="HIN11" s="6"/>
      <c r="HIY11" s="6"/>
      <c r="HIZ11" s="6"/>
      <c r="HJA11" s="9"/>
      <c r="HJB11" s="6"/>
      <c r="HJM11" s="6"/>
      <c r="HJN11" s="6"/>
      <c r="HJO11" s="9"/>
      <c r="HJP11" s="6"/>
      <c r="HKA11" s="6"/>
      <c r="HKB11" s="6"/>
      <c r="HKC11" s="9"/>
      <c r="HKD11" s="6"/>
      <c r="HKO11" s="6"/>
      <c r="HKP11" s="6"/>
      <c r="HKQ11" s="9"/>
      <c r="HKR11" s="6"/>
      <c r="HLC11" s="6"/>
      <c r="HLD11" s="6"/>
      <c r="HLE11" s="9"/>
      <c r="HLF11" s="6"/>
      <c r="HLQ11" s="6"/>
      <c r="HLR11" s="6"/>
      <c r="HLS11" s="9"/>
      <c r="HLT11" s="6"/>
      <c r="HME11" s="6"/>
      <c r="HMF11" s="6"/>
      <c r="HMG11" s="9"/>
      <c r="HMH11" s="6"/>
      <c r="HMS11" s="6"/>
      <c r="HMT11" s="6"/>
      <c r="HMU11" s="9"/>
      <c r="HMV11" s="6"/>
      <c r="HNG11" s="6"/>
      <c r="HNH11" s="6"/>
      <c r="HNI11" s="9"/>
      <c r="HNJ11" s="6"/>
      <c r="HNU11" s="6"/>
      <c r="HNV11" s="6"/>
      <c r="HNW11" s="9"/>
      <c r="HNX11" s="6"/>
      <c r="HOI11" s="6"/>
      <c r="HOJ11" s="6"/>
      <c r="HOK11" s="9"/>
      <c r="HOL11" s="6"/>
      <c r="HOW11" s="6"/>
      <c r="HOX11" s="6"/>
      <c r="HOY11" s="9"/>
      <c r="HOZ11" s="6"/>
      <c r="HPK11" s="6"/>
      <c r="HPL11" s="6"/>
      <c r="HPM11" s="9"/>
      <c r="HPN11" s="6"/>
      <c r="HPY11" s="6"/>
      <c r="HPZ11" s="6"/>
      <c r="HQA11" s="9"/>
      <c r="HQB11" s="6"/>
      <c r="HQM11" s="6"/>
      <c r="HQN11" s="6"/>
      <c r="HQO11" s="9"/>
      <c r="HQP11" s="6"/>
      <c r="HRA11" s="6"/>
      <c r="HRB11" s="6"/>
      <c r="HRC11" s="9"/>
      <c r="HRD11" s="6"/>
      <c r="HRO11" s="6"/>
      <c r="HRP11" s="6"/>
      <c r="HRQ11" s="9"/>
      <c r="HRR11" s="6"/>
      <c r="HSC11" s="6"/>
      <c r="HSD11" s="6"/>
      <c r="HSE11" s="9"/>
      <c r="HSF11" s="6"/>
      <c r="HSQ11" s="6"/>
      <c r="HSR11" s="6"/>
      <c r="HSS11" s="9"/>
      <c r="HST11" s="6"/>
      <c r="HTE11" s="6"/>
      <c r="HTF11" s="6"/>
      <c r="HTG11" s="9"/>
      <c r="HTH11" s="6"/>
      <c r="HTS11" s="6"/>
      <c r="HTT11" s="6"/>
      <c r="HTU11" s="9"/>
      <c r="HTV11" s="6"/>
      <c r="HUG11" s="6"/>
      <c r="HUH11" s="6"/>
      <c r="HUI11" s="9"/>
      <c r="HUJ11" s="6"/>
      <c r="HUU11" s="6"/>
      <c r="HUV11" s="6"/>
      <c r="HUW11" s="9"/>
      <c r="HUX11" s="6"/>
      <c r="HVI11" s="6"/>
      <c r="HVJ11" s="6"/>
      <c r="HVK11" s="9"/>
      <c r="HVL11" s="6"/>
      <c r="HVW11" s="6"/>
      <c r="HVX11" s="6"/>
      <c r="HVY11" s="9"/>
      <c r="HVZ11" s="6"/>
      <c r="HWK11" s="6"/>
      <c r="HWL11" s="6"/>
      <c r="HWM11" s="9"/>
      <c r="HWN11" s="6"/>
      <c r="HWY11" s="6"/>
      <c r="HWZ11" s="6"/>
      <c r="HXA11" s="9"/>
      <c r="HXB11" s="6"/>
      <c r="HXM11" s="6"/>
      <c r="HXN11" s="6"/>
      <c r="HXO11" s="9"/>
      <c r="HXP11" s="6"/>
      <c r="HYA11" s="6"/>
      <c r="HYB11" s="6"/>
      <c r="HYC11" s="9"/>
      <c r="HYD11" s="6"/>
      <c r="HYO11" s="6"/>
      <c r="HYP11" s="6"/>
      <c r="HYQ11" s="9"/>
      <c r="HYR11" s="6"/>
      <c r="HZC11" s="6"/>
      <c r="HZD11" s="6"/>
      <c r="HZE11" s="9"/>
      <c r="HZF11" s="6"/>
      <c r="HZQ11" s="6"/>
      <c r="HZR11" s="6"/>
      <c r="HZS11" s="9"/>
      <c r="HZT11" s="6"/>
      <c r="IAE11" s="6"/>
      <c r="IAF11" s="6"/>
      <c r="IAG11" s="9"/>
      <c r="IAH11" s="6"/>
      <c r="IAS11" s="6"/>
      <c r="IAT11" s="6"/>
      <c r="IAU11" s="9"/>
      <c r="IAV11" s="6"/>
      <c r="IBG11" s="6"/>
      <c r="IBH11" s="6"/>
      <c r="IBI11" s="9"/>
      <c r="IBJ11" s="6"/>
      <c r="IBU11" s="6"/>
      <c r="IBV11" s="6"/>
      <c r="IBW11" s="9"/>
      <c r="IBX11" s="6"/>
      <c r="ICI11" s="6"/>
      <c r="ICJ11" s="6"/>
      <c r="ICK11" s="9"/>
      <c r="ICL11" s="6"/>
      <c r="ICW11" s="6"/>
      <c r="ICX11" s="6"/>
      <c r="ICY11" s="9"/>
      <c r="ICZ11" s="6"/>
      <c r="IDK11" s="6"/>
      <c r="IDL11" s="6"/>
      <c r="IDM11" s="9"/>
      <c r="IDN11" s="6"/>
      <c r="IDY11" s="6"/>
      <c r="IDZ11" s="6"/>
      <c r="IEA11" s="9"/>
      <c r="IEB11" s="6"/>
      <c r="IEM11" s="6"/>
      <c r="IEN11" s="6"/>
      <c r="IEO11" s="9"/>
      <c r="IEP11" s="6"/>
      <c r="IFA11" s="6"/>
      <c r="IFB11" s="6"/>
      <c r="IFC11" s="9"/>
      <c r="IFD11" s="6"/>
      <c r="IFO11" s="6"/>
      <c r="IFP11" s="6"/>
      <c r="IFQ11" s="9"/>
      <c r="IFR11" s="6"/>
      <c r="IGC11" s="6"/>
      <c r="IGD11" s="6"/>
      <c r="IGE11" s="9"/>
      <c r="IGF11" s="6"/>
      <c r="IGQ11" s="6"/>
      <c r="IGR11" s="6"/>
      <c r="IGS11" s="9"/>
      <c r="IGT11" s="6"/>
      <c r="IHE11" s="6"/>
      <c r="IHF11" s="6"/>
      <c r="IHG11" s="9"/>
      <c r="IHH11" s="6"/>
      <c r="IHS11" s="6"/>
      <c r="IHT11" s="6"/>
      <c r="IHU11" s="9"/>
      <c r="IHV11" s="6"/>
      <c r="IIG11" s="6"/>
      <c r="IIH11" s="6"/>
      <c r="III11" s="9"/>
      <c r="IIJ11" s="6"/>
      <c r="IIU11" s="6"/>
      <c r="IIV11" s="6"/>
      <c r="IIW11" s="9"/>
      <c r="IIX11" s="6"/>
      <c r="IJI11" s="6"/>
      <c r="IJJ11" s="6"/>
      <c r="IJK11" s="9"/>
      <c r="IJL11" s="6"/>
      <c r="IJW11" s="6"/>
      <c r="IJX11" s="6"/>
      <c r="IJY11" s="9"/>
      <c r="IJZ11" s="6"/>
      <c r="IKK11" s="6"/>
      <c r="IKL11" s="6"/>
      <c r="IKM11" s="9"/>
      <c r="IKN11" s="6"/>
      <c r="IKY11" s="6"/>
      <c r="IKZ11" s="6"/>
      <c r="ILA11" s="9"/>
      <c r="ILB11" s="6"/>
      <c r="ILM11" s="6"/>
      <c r="ILN11" s="6"/>
      <c r="ILO11" s="9"/>
      <c r="ILP11" s="6"/>
      <c r="IMA11" s="6"/>
      <c r="IMB11" s="6"/>
      <c r="IMC11" s="9"/>
      <c r="IMD11" s="6"/>
      <c r="IMO11" s="6"/>
      <c r="IMP11" s="6"/>
      <c r="IMQ11" s="9"/>
      <c r="IMR11" s="6"/>
      <c r="INC11" s="6"/>
      <c r="IND11" s="6"/>
      <c r="INE11" s="9"/>
      <c r="INF11" s="6"/>
      <c r="INQ11" s="6"/>
      <c r="INR11" s="6"/>
      <c r="INS11" s="9"/>
      <c r="INT11" s="6"/>
      <c r="IOE11" s="6"/>
      <c r="IOF11" s="6"/>
      <c r="IOG11" s="9"/>
      <c r="IOH11" s="6"/>
      <c r="IOS11" s="6"/>
      <c r="IOT11" s="6"/>
      <c r="IOU11" s="9"/>
      <c r="IOV11" s="6"/>
      <c r="IPG11" s="6"/>
      <c r="IPH11" s="6"/>
      <c r="IPI11" s="9"/>
      <c r="IPJ11" s="6"/>
      <c r="IPU11" s="6"/>
      <c r="IPV11" s="6"/>
      <c r="IPW11" s="9"/>
      <c r="IPX11" s="6"/>
      <c r="IQI11" s="6"/>
      <c r="IQJ11" s="6"/>
      <c r="IQK11" s="9"/>
      <c r="IQL11" s="6"/>
      <c r="IQW11" s="6"/>
      <c r="IQX11" s="6"/>
      <c r="IQY11" s="9"/>
      <c r="IQZ11" s="6"/>
      <c r="IRK11" s="6"/>
      <c r="IRL11" s="6"/>
      <c r="IRM11" s="9"/>
      <c r="IRN11" s="6"/>
      <c r="IRY11" s="6"/>
      <c r="IRZ11" s="6"/>
      <c r="ISA11" s="9"/>
      <c r="ISB11" s="6"/>
      <c r="ISM11" s="6"/>
      <c r="ISN11" s="6"/>
      <c r="ISO11" s="9"/>
      <c r="ISP11" s="6"/>
      <c r="ITA11" s="6"/>
      <c r="ITB11" s="6"/>
      <c r="ITC11" s="9"/>
      <c r="ITD11" s="6"/>
      <c r="ITO11" s="6"/>
      <c r="ITP11" s="6"/>
      <c r="ITQ11" s="9"/>
      <c r="ITR11" s="6"/>
      <c r="IUC11" s="6"/>
      <c r="IUD11" s="6"/>
      <c r="IUE11" s="9"/>
      <c r="IUF11" s="6"/>
      <c r="IUQ11" s="6"/>
      <c r="IUR11" s="6"/>
      <c r="IUS11" s="9"/>
      <c r="IUT11" s="6"/>
      <c r="IVE11" s="6"/>
      <c r="IVF11" s="6"/>
      <c r="IVG11" s="9"/>
      <c r="IVH11" s="6"/>
      <c r="IVS11" s="6"/>
      <c r="IVT11" s="6"/>
      <c r="IVU11" s="9"/>
      <c r="IVV11" s="6"/>
      <c r="IWG11" s="6"/>
      <c r="IWH11" s="6"/>
      <c r="IWI11" s="9"/>
      <c r="IWJ11" s="6"/>
      <c r="IWU11" s="6"/>
      <c r="IWV11" s="6"/>
      <c r="IWW11" s="9"/>
      <c r="IWX11" s="6"/>
      <c r="IXI11" s="6"/>
      <c r="IXJ11" s="6"/>
      <c r="IXK11" s="9"/>
      <c r="IXL11" s="6"/>
      <c r="IXW11" s="6"/>
      <c r="IXX11" s="6"/>
      <c r="IXY11" s="9"/>
      <c r="IXZ11" s="6"/>
      <c r="IYK11" s="6"/>
      <c r="IYL11" s="6"/>
      <c r="IYM11" s="9"/>
      <c r="IYN11" s="6"/>
      <c r="IYY11" s="6"/>
      <c r="IYZ11" s="6"/>
      <c r="IZA11" s="9"/>
      <c r="IZB11" s="6"/>
      <c r="IZM11" s="6"/>
      <c r="IZN11" s="6"/>
      <c r="IZO11" s="9"/>
      <c r="IZP11" s="6"/>
      <c r="JAA11" s="6"/>
      <c r="JAB11" s="6"/>
      <c r="JAC11" s="9"/>
      <c r="JAD11" s="6"/>
      <c r="JAO11" s="6"/>
      <c r="JAP11" s="6"/>
      <c r="JAQ11" s="9"/>
      <c r="JAR11" s="6"/>
      <c r="JBC11" s="6"/>
      <c r="JBD11" s="6"/>
      <c r="JBE11" s="9"/>
      <c r="JBF11" s="6"/>
      <c r="JBQ11" s="6"/>
      <c r="JBR11" s="6"/>
      <c r="JBS11" s="9"/>
      <c r="JBT11" s="6"/>
      <c r="JCE11" s="6"/>
      <c r="JCF11" s="6"/>
      <c r="JCG11" s="9"/>
      <c r="JCH11" s="6"/>
      <c r="JCS11" s="6"/>
      <c r="JCT11" s="6"/>
      <c r="JCU11" s="9"/>
      <c r="JCV11" s="6"/>
      <c r="JDG11" s="6"/>
      <c r="JDH11" s="6"/>
      <c r="JDI11" s="9"/>
      <c r="JDJ11" s="6"/>
      <c r="JDU11" s="6"/>
      <c r="JDV11" s="6"/>
      <c r="JDW11" s="9"/>
      <c r="JDX11" s="6"/>
      <c r="JEI11" s="6"/>
      <c r="JEJ11" s="6"/>
      <c r="JEK11" s="9"/>
      <c r="JEL11" s="6"/>
      <c r="JEW11" s="6"/>
      <c r="JEX11" s="6"/>
      <c r="JEY11" s="9"/>
      <c r="JEZ11" s="6"/>
      <c r="JFK11" s="6"/>
      <c r="JFL11" s="6"/>
      <c r="JFM11" s="9"/>
      <c r="JFN11" s="6"/>
      <c r="JFY11" s="6"/>
      <c r="JFZ11" s="6"/>
      <c r="JGA11" s="9"/>
      <c r="JGB11" s="6"/>
      <c r="JGM11" s="6"/>
      <c r="JGN11" s="6"/>
      <c r="JGO11" s="9"/>
      <c r="JGP11" s="6"/>
      <c r="JHA11" s="6"/>
      <c r="JHB11" s="6"/>
      <c r="JHC11" s="9"/>
      <c r="JHD11" s="6"/>
      <c r="JHO11" s="6"/>
      <c r="JHP11" s="6"/>
      <c r="JHQ11" s="9"/>
      <c r="JHR11" s="6"/>
      <c r="JIC11" s="6"/>
      <c r="JID11" s="6"/>
      <c r="JIE11" s="9"/>
      <c r="JIF11" s="6"/>
      <c r="JIQ11" s="6"/>
      <c r="JIR11" s="6"/>
      <c r="JIS11" s="9"/>
      <c r="JIT11" s="6"/>
      <c r="JJE11" s="6"/>
      <c r="JJF11" s="6"/>
      <c r="JJG11" s="9"/>
      <c r="JJH11" s="6"/>
      <c r="JJS11" s="6"/>
      <c r="JJT11" s="6"/>
      <c r="JJU11" s="9"/>
      <c r="JJV11" s="6"/>
      <c r="JKG11" s="6"/>
      <c r="JKH11" s="6"/>
      <c r="JKI11" s="9"/>
      <c r="JKJ11" s="6"/>
      <c r="JKU11" s="6"/>
      <c r="JKV11" s="6"/>
      <c r="JKW11" s="9"/>
      <c r="JKX11" s="6"/>
      <c r="JLI11" s="6"/>
      <c r="JLJ11" s="6"/>
      <c r="JLK11" s="9"/>
      <c r="JLL11" s="6"/>
      <c r="JLW11" s="6"/>
      <c r="JLX11" s="6"/>
      <c r="JLY11" s="9"/>
      <c r="JLZ11" s="6"/>
      <c r="JMK11" s="6"/>
      <c r="JML11" s="6"/>
      <c r="JMM11" s="9"/>
      <c r="JMN11" s="6"/>
      <c r="JMY11" s="6"/>
      <c r="JMZ11" s="6"/>
      <c r="JNA11" s="9"/>
      <c r="JNB11" s="6"/>
      <c r="JNM11" s="6"/>
      <c r="JNN11" s="6"/>
      <c r="JNO11" s="9"/>
      <c r="JNP11" s="6"/>
      <c r="JOA11" s="6"/>
      <c r="JOB11" s="6"/>
      <c r="JOC11" s="9"/>
      <c r="JOD11" s="6"/>
      <c r="JOO11" s="6"/>
      <c r="JOP11" s="6"/>
      <c r="JOQ11" s="9"/>
      <c r="JOR11" s="6"/>
      <c r="JPC11" s="6"/>
      <c r="JPD11" s="6"/>
      <c r="JPE11" s="9"/>
      <c r="JPF11" s="6"/>
      <c r="JPQ11" s="6"/>
      <c r="JPR11" s="6"/>
      <c r="JPS11" s="9"/>
      <c r="JPT11" s="6"/>
      <c r="JQE11" s="6"/>
      <c r="JQF11" s="6"/>
      <c r="JQG11" s="9"/>
      <c r="JQH11" s="6"/>
      <c r="JQS11" s="6"/>
      <c r="JQT11" s="6"/>
      <c r="JQU11" s="9"/>
      <c r="JQV11" s="6"/>
      <c r="JRG11" s="6"/>
      <c r="JRH11" s="6"/>
      <c r="JRI11" s="9"/>
      <c r="JRJ11" s="6"/>
      <c r="JRU11" s="6"/>
      <c r="JRV11" s="6"/>
      <c r="JRW11" s="9"/>
      <c r="JRX11" s="6"/>
      <c r="JSI11" s="6"/>
      <c r="JSJ11" s="6"/>
      <c r="JSK11" s="9"/>
      <c r="JSL11" s="6"/>
      <c r="JSW11" s="6"/>
      <c r="JSX11" s="6"/>
      <c r="JSY11" s="9"/>
      <c r="JSZ11" s="6"/>
      <c r="JTK11" s="6"/>
      <c r="JTL11" s="6"/>
      <c r="JTM11" s="9"/>
      <c r="JTN11" s="6"/>
      <c r="JTY11" s="6"/>
      <c r="JTZ11" s="6"/>
      <c r="JUA11" s="9"/>
      <c r="JUB11" s="6"/>
      <c r="JUM11" s="6"/>
      <c r="JUN11" s="6"/>
      <c r="JUO11" s="9"/>
      <c r="JUP11" s="6"/>
      <c r="JVA11" s="6"/>
      <c r="JVB11" s="6"/>
      <c r="JVC11" s="9"/>
      <c r="JVD11" s="6"/>
      <c r="JVO11" s="6"/>
      <c r="JVP11" s="6"/>
      <c r="JVQ11" s="9"/>
      <c r="JVR11" s="6"/>
      <c r="JWC11" s="6"/>
      <c r="JWD11" s="6"/>
      <c r="JWE11" s="9"/>
      <c r="JWF11" s="6"/>
      <c r="JWQ11" s="6"/>
      <c r="JWR11" s="6"/>
      <c r="JWS11" s="9"/>
      <c r="JWT11" s="6"/>
      <c r="JXE11" s="6"/>
      <c r="JXF11" s="6"/>
      <c r="JXG11" s="9"/>
      <c r="JXH11" s="6"/>
      <c r="JXS11" s="6"/>
      <c r="JXT11" s="6"/>
      <c r="JXU11" s="9"/>
      <c r="JXV11" s="6"/>
      <c r="JYG11" s="6"/>
      <c r="JYH11" s="6"/>
      <c r="JYI11" s="9"/>
      <c r="JYJ11" s="6"/>
      <c r="JYU11" s="6"/>
      <c r="JYV11" s="6"/>
      <c r="JYW11" s="9"/>
      <c r="JYX11" s="6"/>
      <c r="JZI11" s="6"/>
      <c r="JZJ11" s="6"/>
      <c r="JZK11" s="9"/>
      <c r="JZL11" s="6"/>
      <c r="JZW11" s="6"/>
      <c r="JZX11" s="6"/>
      <c r="JZY11" s="9"/>
      <c r="JZZ11" s="6"/>
      <c r="KAK11" s="6"/>
      <c r="KAL11" s="6"/>
      <c r="KAM11" s="9"/>
      <c r="KAN11" s="6"/>
      <c r="KAY11" s="6"/>
      <c r="KAZ11" s="6"/>
      <c r="KBA11" s="9"/>
      <c r="KBB11" s="6"/>
      <c r="KBM11" s="6"/>
      <c r="KBN11" s="6"/>
      <c r="KBO11" s="9"/>
      <c r="KBP11" s="6"/>
      <c r="KCA11" s="6"/>
      <c r="KCB11" s="6"/>
      <c r="KCC11" s="9"/>
      <c r="KCD11" s="6"/>
      <c r="KCO11" s="6"/>
      <c r="KCP11" s="6"/>
      <c r="KCQ11" s="9"/>
      <c r="KCR11" s="6"/>
      <c r="KDC11" s="6"/>
      <c r="KDD11" s="6"/>
      <c r="KDE11" s="9"/>
      <c r="KDF11" s="6"/>
      <c r="KDQ11" s="6"/>
      <c r="KDR11" s="6"/>
      <c r="KDS11" s="9"/>
      <c r="KDT11" s="6"/>
      <c r="KEE11" s="6"/>
      <c r="KEF11" s="6"/>
      <c r="KEG11" s="9"/>
      <c r="KEH11" s="6"/>
      <c r="KES11" s="6"/>
      <c r="KET11" s="6"/>
      <c r="KEU11" s="9"/>
      <c r="KEV11" s="6"/>
      <c r="KFG11" s="6"/>
      <c r="KFH11" s="6"/>
      <c r="KFI11" s="9"/>
      <c r="KFJ11" s="6"/>
      <c r="KFU11" s="6"/>
      <c r="KFV11" s="6"/>
      <c r="KFW11" s="9"/>
      <c r="KFX11" s="6"/>
      <c r="KGI11" s="6"/>
      <c r="KGJ11" s="6"/>
      <c r="KGK11" s="9"/>
      <c r="KGL11" s="6"/>
      <c r="KGW11" s="6"/>
      <c r="KGX11" s="6"/>
      <c r="KGY11" s="9"/>
      <c r="KGZ11" s="6"/>
      <c r="KHK11" s="6"/>
      <c r="KHL11" s="6"/>
      <c r="KHM11" s="9"/>
      <c r="KHN11" s="6"/>
      <c r="KHY11" s="6"/>
      <c r="KHZ11" s="6"/>
      <c r="KIA11" s="9"/>
      <c r="KIB11" s="6"/>
      <c r="KIM11" s="6"/>
      <c r="KIN11" s="6"/>
      <c r="KIO11" s="9"/>
      <c r="KIP11" s="6"/>
      <c r="KJA11" s="6"/>
      <c r="KJB11" s="6"/>
      <c r="KJC11" s="9"/>
      <c r="KJD11" s="6"/>
      <c r="KJO11" s="6"/>
      <c r="KJP11" s="6"/>
      <c r="KJQ11" s="9"/>
      <c r="KJR11" s="6"/>
      <c r="KKC11" s="6"/>
      <c r="KKD11" s="6"/>
      <c r="KKE11" s="9"/>
      <c r="KKF11" s="6"/>
      <c r="KKQ11" s="6"/>
      <c r="KKR11" s="6"/>
      <c r="KKS11" s="9"/>
      <c r="KKT11" s="6"/>
      <c r="KLE11" s="6"/>
      <c r="KLF11" s="6"/>
      <c r="KLG11" s="9"/>
      <c r="KLH11" s="6"/>
      <c r="KLS11" s="6"/>
      <c r="KLT11" s="6"/>
      <c r="KLU11" s="9"/>
      <c r="KLV11" s="6"/>
      <c r="KMG11" s="6"/>
      <c r="KMH11" s="6"/>
      <c r="KMI11" s="9"/>
      <c r="KMJ11" s="6"/>
      <c r="KMU11" s="6"/>
      <c r="KMV11" s="6"/>
      <c r="KMW11" s="9"/>
      <c r="KMX11" s="6"/>
      <c r="KNI11" s="6"/>
      <c r="KNJ11" s="6"/>
      <c r="KNK11" s="9"/>
      <c r="KNL11" s="6"/>
      <c r="KNW11" s="6"/>
      <c r="KNX11" s="6"/>
      <c r="KNY11" s="9"/>
      <c r="KNZ11" s="6"/>
      <c r="KOK11" s="6"/>
      <c r="KOL11" s="6"/>
      <c r="KOM11" s="9"/>
      <c r="KON11" s="6"/>
      <c r="KOY11" s="6"/>
      <c r="KOZ11" s="6"/>
      <c r="KPA11" s="9"/>
      <c r="KPB11" s="6"/>
      <c r="KPM11" s="6"/>
      <c r="KPN11" s="6"/>
      <c r="KPO11" s="9"/>
      <c r="KPP11" s="6"/>
      <c r="KQA11" s="6"/>
      <c r="KQB11" s="6"/>
      <c r="KQC11" s="9"/>
      <c r="KQD11" s="6"/>
      <c r="KQO11" s="6"/>
      <c r="KQP11" s="6"/>
      <c r="KQQ11" s="9"/>
      <c r="KQR11" s="6"/>
      <c r="KRC11" s="6"/>
      <c r="KRD11" s="6"/>
      <c r="KRE11" s="9"/>
      <c r="KRF11" s="6"/>
      <c r="KRQ11" s="6"/>
      <c r="KRR11" s="6"/>
      <c r="KRS11" s="9"/>
      <c r="KRT11" s="6"/>
      <c r="KSE11" s="6"/>
      <c r="KSF11" s="6"/>
      <c r="KSG11" s="9"/>
      <c r="KSH11" s="6"/>
      <c r="KSS11" s="6"/>
      <c r="KST11" s="6"/>
      <c r="KSU11" s="9"/>
      <c r="KSV11" s="6"/>
      <c r="KTG11" s="6"/>
      <c r="KTH11" s="6"/>
      <c r="KTI11" s="9"/>
      <c r="KTJ11" s="6"/>
      <c r="KTU11" s="6"/>
      <c r="KTV11" s="6"/>
      <c r="KTW11" s="9"/>
      <c r="KTX11" s="6"/>
      <c r="KUI11" s="6"/>
      <c r="KUJ11" s="6"/>
      <c r="KUK11" s="9"/>
      <c r="KUL11" s="6"/>
      <c r="KUW11" s="6"/>
      <c r="KUX11" s="6"/>
      <c r="KUY11" s="9"/>
      <c r="KUZ11" s="6"/>
      <c r="KVK11" s="6"/>
      <c r="KVL11" s="6"/>
      <c r="KVM11" s="9"/>
      <c r="KVN11" s="6"/>
      <c r="KVY11" s="6"/>
      <c r="KVZ11" s="6"/>
      <c r="KWA11" s="9"/>
      <c r="KWB11" s="6"/>
      <c r="KWM11" s="6"/>
      <c r="KWN11" s="6"/>
      <c r="KWO11" s="9"/>
      <c r="KWP11" s="6"/>
      <c r="KXA11" s="6"/>
      <c r="KXB11" s="6"/>
      <c r="KXC11" s="9"/>
      <c r="KXD11" s="6"/>
      <c r="KXO11" s="6"/>
      <c r="KXP11" s="6"/>
      <c r="KXQ11" s="9"/>
      <c r="KXR11" s="6"/>
      <c r="KYC11" s="6"/>
      <c r="KYD11" s="6"/>
      <c r="KYE11" s="9"/>
      <c r="KYF11" s="6"/>
      <c r="KYQ11" s="6"/>
      <c r="KYR11" s="6"/>
      <c r="KYS11" s="9"/>
      <c r="KYT11" s="6"/>
      <c r="KZE11" s="6"/>
      <c r="KZF11" s="6"/>
      <c r="KZG11" s="9"/>
      <c r="KZH11" s="6"/>
      <c r="KZS11" s="6"/>
      <c r="KZT11" s="6"/>
      <c r="KZU11" s="9"/>
      <c r="KZV11" s="6"/>
      <c r="LAG11" s="6"/>
      <c r="LAH11" s="6"/>
      <c r="LAI11" s="9"/>
      <c r="LAJ11" s="6"/>
      <c r="LAU11" s="6"/>
      <c r="LAV11" s="6"/>
      <c r="LAW11" s="9"/>
      <c r="LAX11" s="6"/>
      <c r="LBI11" s="6"/>
      <c r="LBJ11" s="6"/>
      <c r="LBK11" s="9"/>
      <c r="LBL11" s="6"/>
      <c r="LBW11" s="6"/>
      <c r="LBX11" s="6"/>
      <c r="LBY11" s="9"/>
      <c r="LBZ11" s="6"/>
      <c r="LCK11" s="6"/>
      <c r="LCL11" s="6"/>
      <c r="LCM11" s="9"/>
      <c r="LCN11" s="6"/>
      <c r="LCY11" s="6"/>
      <c r="LCZ11" s="6"/>
      <c r="LDA11" s="9"/>
      <c r="LDB11" s="6"/>
      <c r="LDM11" s="6"/>
      <c r="LDN11" s="6"/>
      <c r="LDO11" s="9"/>
      <c r="LDP11" s="6"/>
      <c r="LEA11" s="6"/>
      <c r="LEB11" s="6"/>
      <c r="LEC11" s="9"/>
      <c r="LED11" s="6"/>
      <c r="LEO11" s="6"/>
      <c r="LEP11" s="6"/>
      <c r="LEQ11" s="9"/>
      <c r="LER11" s="6"/>
      <c r="LFC11" s="6"/>
      <c r="LFD11" s="6"/>
      <c r="LFE11" s="9"/>
      <c r="LFF11" s="6"/>
      <c r="LFQ11" s="6"/>
      <c r="LFR11" s="6"/>
      <c r="LFS11" s="9"/>
      <c r="LFT11" s="6"/>
      <c r="LGE11" s="6"/>
      <c r="LGF11" s="6"/>
      <c r="LGG11" s="9"/>
      <c r="LGH11" s="6"/>
      <c r="LGS11" s="6"/>
      <c r="LGT11" s="6"/>
      <c r="LGU11" s="9"/>
      <c r="LGV11" s="6"/>
      <c r="LHG11" s="6"/>
      <c r="LHH11" s="6"/>
      <c r="LHI11" s="9"/>
      <c r="LHJ11" s="6"/>
      <c r="LHU11" s="6"/>
      <c r="LHV11" s="6"/>
      <c r="LHW11" s="9"/>
      <c r="LHX11" s="6"/>
      <c r="LII11" s="6"/>
      <c r="LIJ11" s="6"/>
      <c r="LIK11" s="9"/>
      <c r="LIL11" s="6"/>
      <c r="LIW11" s="6"/>
      <c r="LIX11" s="6"/>
      <c r="LIY11" s="9"/>
      <c r="LIZ11" s="6"/>
      <c r="LJK11" s="6"/>
      <c r="LJL11" s="6"/>
      <c r="LJM11" s="9"/>
      <c r="LJN11" s="6"/>
      <c r="LJY11" s="6"/>
      <c r="LJZ11" s="6"/>
      <c r="LKA11" s="9"/>
      <c r="LKB11" s="6"/>
      <c r="LKM11" s="6"/>
      <c r="LKN11" s="6"/>
      <c r="LKO11" s="9"/>
      <c r="LKP11" s="6"/>
      <c r="LLA11" s="6"/>
      <c r="LLB11" s="6"/>
      <c r="LLC11" s="9"/>
      <c r="LLD11" s="6"/>
      <c r="LLO11" s="6"/>
      <c r="LLP11" s="6"/>
      <c r="LLQ11" s="9"/>
      <c r="LLR11" s="6"/>
      <c r="LMC11" s="6"/>
      <c r="LMD11" s="6"/>
      <c r="LME11" s="9"/>
      <c r="LMF11" s="6"/>
      <c r="LMQ11" s="6"/>
      <c r="LMR11" s="6"/>
      <c r="LMS11" s="9"/>
      <c r="LMT11" s="6"/>
      <c r="LNE11" s="6"/>
      <c r="LNF11" s="6"/>
      <c r="LNG11" s="9"/>
      <c r="LNH11" s="6"/>
      <c r="LNS11" s="6"/>
      <c r="LNT11" s="6"/>
      <c r="LNU11" s="9"/>
      <c r="LNV11" s="6"/>
      <c r="LOG11" s="6"/>
      <c r="LOH11" s="6"/>
      <c r="LOI11" s="9"/>
      <c r="LOJ11" s="6"/>
      <c r="LOU11" s="6"/>
      <c r="LOV11" s="6"/>
      <c r="LOW11" s="9"/>
      <c r="LOX11" s="6"/>
      <c r="LPI11" s="6"/>
      <c r="LPJ11" s="6"/>
      <c r="LPK11" s="9"/>
      <c r="LPL11" s="6"/>
      <c r="LPW11" s="6"/>
      <c r="LPX11" s="6"/>
      <c r="LPY11" s="9"/>
      <c r="LPZ11" s="6"/>
      <c r="LQK11" s="6"/>
      <c r="LQL11" s="6"/>
      <c r="LQM11" s="9"/>
      <c r="LQN11" s="6"/>
      <c r="LQY11" s="6"/>
      <c r="LQZ11" s="6"/>
      <c r="LRA11" s="9"/>
      <c r="LRB11" s="6"/>
      <c r="LRM11" s="6"/>
      <c r="LRN11" s="6"/>
      <c r="LRO11" s="9"/>
      <c r="LRP11" s="6"/>
      <c r="LSA11" s="6"/>
      <c r="LSB11" s="6"/>
      <c r="LSC11" s="9"/>
      <c r="LSD11" s="6"/>
      <c r="LSO11" s="6"/>
      <c r="LSP11" s="6"/>
      <c r="LSQ11" s="9"/>
      <c r="LSR11" s="6"/>
      <c r="LTC11" s="6"/>
      <c r="LTD11" s="6"/>
      <c r="LTE11" s="9"/>
      <c r="LTF11" s="6"/>
      <c r="LTQ11" s="6"/>
      <c r="LTR11" s="6"/>
      <c r="LTS11" s="9"/>
      <c r="LTT11" s="6"/>
      <c r="LUE11" s="6"/>
      <c r="LUF11" s="6"/>
      <c r="LUG11" s="9"/>
      <c r="LUH11" s="6"/>
      <c r="LUS11" s="6"/>
      <c r="LUT11" s="6"/>
      <c r="LUU11" s="9"/>
      <c r="LUV11" s="6"/>
      <c r="LVG11" s="6"/>
      <c r="LVH11" s="6"/>
      <c r="LVI11" s="9"/>
      <c r="LVJ11" s="6"/>
      <c r="LVU11" s="6"/>
      <c r="LVV11" s="6"/>
      <c r="LVW11" s="9"/>
      <c r="LVX11" s="6"/>
      <c r="LWI11" s="6"/>
      <c r="LWJ11" s="6"/>
      <c r="LWK11" s="9"/>
      <c r="LWL11" s="6"/>
      <c r="LWW11" s="6"/>
      <c r="LWX11" s="6"/>
      <c r="LWY11" s="9"/>
      <c r="LWZ11" s="6"/>
      <c r="LXK11" s="6"/>
      <c r="LXL11" s="6"/>
      <c r="LXM11" s="9"/>
      <c r="LXN11" s="6"/>
      <c r="LXY11" s="6"/>
      <c r="LXZ11" s="6"/>
      <c r="LYA11" s="9"/>
      <c r="LYB11" s="6"/>
      <c r="LYM11" s="6"/>
      <c r="LYN11" s="6"/>
      <c r="LYO11" s="9"/>
      <c r="LYP11" s="6"/>
      <c r="LZA11" s="6"/>
      <c r="LZB11" s="6"/>
      <c r="LZC11" s="9"/>
      <c r="LZD11" s="6"/>
      <c r="LZO11" s="6"/>
      <c r="LZP11" s="6"/>
      <c r="LZQ11" s="9"/>
      <c r="LZR11" s="6"/>
      <c r="MAC11" s="6"/>
      <c r="MAD11" s="6"/>
      <c r="MAE11" s="9"/>
      <c r="MAF11" s="6"/>
      <c r="MAQ11" s="6"/>
      <c r="MAR11" s="6"/>
      <c r="MAS11" s="9"/>
      <c r="MAT11" s="6"/>
      <c r="MBE11" s="6"/>
      <c r="MBF11" s="6"/>
      <c r="MBG11" s="9"/>
      <c r="MBH11" s="6"/>
      <c r="MBS11" s="6"/>
      <c r="MBT11" s="6"/>
      <c r="MBU11" s="9"/>
      <c r="MBV11" s="6"/>
      <c r="MCG11" s="6"/>
      <c r="MCH11" s="6"/>
      <c r="MCI11" s="9"/>
      <c r="MCJ11" s="6"/>
      <c r="MCU11" s="6"/>
      <c r="MCV11" s="6"/>
      <c r="MCW11" s="9"/>
      <c r="MCX11" s="6"/>
      <c r="MDI11" s="6"/>
      <c r="MDJ11" s="6"/>
      <c r="MDK11" s="9"/>
      <c r="MDL11" s="6"/>
      <c r="MDW11" s="6"/>
      <c r="MDX11" s="6"/>
      <c r="MDY11" s="9"/>
      <c r="MDZ11" s="6"/>
      <c r="MEK11" s="6"/>
      <c r="MEL11" s="6"/>
      <c r="MEM11" s="9"/>
      <c r="MEN11" s="6"/>
      <c r="MEY11" s="6"/>
      <c r="MEZ11" s="6"/>
      <c r="MFA11" s="9"/>
      <c r="MFB11" s="6"/>
      <c r="MFM11" s="6"/>
      <c r="MFN11" s="6"/>
      <c r="MFO11" s="9"/>
      <c r="MFP11" s="6"/>
      <c r="MGA11" s="6"/>
      <c r="MGB11" s="6"/>
      <c r="MGC11" s="9"/>
      <c r="MGD11" s="6"/>
      <c r="MGO11" s="6"/>
      <c r="MGP11" s="6"/>
      <c r="MGQ11" s="9"/>
      <c r="MGR11" s="6"/>
      <c r="MHC11" s="6"/>
      <c r="MHD11" s="6"/>
      <c r="MHE11" s="9"/>
      <c r="MHF11" s="6"/>
      <c r="MHQ11" s="6"/>
      <c r="MHR11" s="6"/>
      <c r="MHS11" s="9"/>
      <c r="MHT11" s="6"/>
      <c r="MIE11" s="6"/>
      <c r="MIF11" s="6"/>
      <c r="MIG11" s="9"/>
      <c r="MIH11" s="6"/>
      <c r="MIS11" s="6"/>
      <c r="MIT11" s="6"/>
      <c r="MIU11" s="9"/>
      <c r="MIV11" s="6"/>
      <c r="MJG11" s="6"/>
      <c r="MJH11" s="6"/>
      <c r="MJI11" s="9"/>
      <c r="MJJ11" s="6"/>
      <c r="MJU11" s="6"/>
      <c r="MJV11" s="6"/>
      <c r="MJW11" s="9"/>
      <c r="MJX11" s="6"/>
      <c r="MKI11" s="6"/>
      <c r="MKJ11" s="6"/>
      <c r="MKK11" s="9"/>
      <c r="MKL11" s="6"/>
      <c r="MKW11" s="6"/>
      <c r="MKX11" s="6"/>
      <c r="MKY11" s="9"/>
      <c r="MKZ11" s="6"/>
      <c r="MLK11" s="6"/>
      <c r="MLL11" s="6"/>
      <c r="MLM11" s="9"/>
      <c r="MLN11" s="6"/>
      <c r="MLY11" s="6"/>
      <c r="MLZ11" s="6"/>
      <c r="MMA11" s="9"/>
      <c r="MMB11" s="6"/>
      <c r="MMM11" s="6"/>
      <c r="MMN11" s="6"/>
      <c r="MMO11" s="9"/>
      <c r="MMP11" s="6"/>
      <c r="MNA11" s="6"/>
      <c r="MNB11" s="6"/>
      <c r="MNC11" s="9"/>
      <c r="MND11" s="6"/>
      <c r="MNO11" s="6"/>
      <c r="MNP11" s="6"/>
      <c r="MNQ11" s="9"/>
      <c r="MNR11" s="6"/>
      <c r="MOC11" s="6"/>
      <c r="MOD11" s="6"/>
      <c r="MOE11" s="9"/>
      <c r="MOF11" s="6"/>
      <c r="MOQ11" s="6"/>
      <c r="MOR11" s="6"/>
      <c r="MOS11" s="9"/>
      <c r="MOT11" s="6"/>
      <c r="MPE11" s="6"/>
      <c r="MPF11" s="6"/>
      <c r="MPG11" s="9"/>
      <c r="MPH11" s="6"/>
      <c r="MPS11" s="6"/>
      <c r="MPT11" s="6"/>
      <c r="MPU11" s="9"/>
      <c r="MPV11" s="6"/>
      <c r="MQG11" s="6"/>
      <c r="MQH11" s="6"/>
      <c r="MQI11" s="9"/>
      <c r="MQJ11" s="6"/>
      <c r="MQU11" s="6"/>
      <c r="MQV11" s="6"/>
      <c r="MQW11" s="9"/>
      <c r="MQX11" s="6"/>
      <c r="MRI11" s="6"/>
      <c r="MRJ11" s="6"/>
      <c r="MRK11" s="9"/>
      <c r="MRL11" s="6"/>
      <c r="MRW11" s="6"/>
      <c r="MRX11" s="6"/>
      <c r="MRY11" s="9"/>
      <c r="MRZ11" s="6"/>
      <c r="MSK11" s="6"/>
      <c r="MSL11" s="6"/>
      <c r="MSM11" s="9"/>
      <c r="MSN11" s="6"/>
      <c r="MSY11" s="6"/>
      <c r="MSZ11" s="6"/>
      <c r="MTA11" s="9"/>
      <c r="MTB11" s="6"/>
      <c r="MTM11" s="6"/>
      <c r="MTN11" s="6"/>
      <c r="MTO11" s="9"/>
      <c r="MTP11" s="6"/>
      <c r="MUA11" s="6"/>
      <c r="MUB11" s="6"/>
      <c r="MUC11" s="9"/>
      <c r="MUD11" s="6"/>
      <c r="MUO11" s="6"/>
      <c r="MUP11" s="6"/>
      <c r="MUQ11" s="9"/>
      <c r="MUR11" s="6"/>
      <c r="MVC11" s="6"/>
      <c r="MVD11" s="6"/>
      <c r="MVE11" s="9"/>
      <c r="MVF11" s="6"/>
      <c r="MVQ11" s="6"/>
      <c r="MVR11" s="6"/>
      <c r="MVS11" s="9"/>
      <c r="MVT11" s="6"/>
      <c r="MWE11" s="6"/>
      <c r="MWF11" s="6"/>
      <c r="MWG11" s="9"/>
      <c r="MWH11" s="6"/>
      <c r="MWS11" s="6"/>
      <c r="MWT11" s="6"/>
      <c r="MWU11" s="9"/>
      <c r="MWV11" s="6"/>
      <c r="MXG11" s="6"/>
      <c r="MXH11" s="6"/>
      <c r="MXI11" s="9"/>
      <c r="MXJ11" s="6"/>
      <c r="MXU11" s="6"/>
      <c r="MXV11" s="6"/>
      <c r="MXW11" s="9"/>
      <c r="MXX11" s="6"/>
      <c r="MYI11" s="6"/>
      <c r="MYJ11" s="6"/>
      <c r="MYK11" s="9"/>
      <c r="MYL11" s="6"/>
      <c r="MYW11" s="6"/>
      <c r="MYX11" s="6"/>
      <c r="MYY11" s="9"/>
      <c r="MYZ11" s="6"/>
      <c r="MZK11" s="6"/>
      <c r="MZL11" s="6"/>
      <c r="MZM11" s="9"/>
      <c r="MZN11" s="6"/>
      <c r="MZY11" s="6"/>
      <c r="MZZ11" s="6"/>
      <c r="NAA11" s="9"/>
      <c r="NAB11" s="6"/>
      <c r="NAM11" s="6"/>
      <c r="NAN11" s="6"/>
      <c r="NAO11" s="9"/>
      <c r="NAP11" s="6"/>
      <c r="NBA11" s="6"/>
      <c r="NBB11" s="6"/>
      <c r="NBC11" s="9"/>
      <c r="NBD11" s="6"/>
      <c r="NBO11" s="6"/>
      <c r="NBP11" s="6"/>
      <c r="NBQ11" s="9"/>
      <c r="NBR11" s="6"/>
      <c r="NCC11" s="6"/>
      <c r="NCD11" s="6"/>
      <c r="NCE11" s="9"/>
      <c r="NCF11" s="6"/>
      <c r="NCQ11" s="6"/>
      <c r="NCR11" s="6"/>
      <c r="NCS11" s="9"/>
      <c r="NCT11" s="6"/>
      <c r="NDE11" s="6"/>
      <c r="NDF11" s="6"/>
      <c r="NDG11" s="9"/>
      <c r="NDH11" s="6"/>
      <c r="NDS11" s="6"/>
      <c r="NDT11" s="6"/>
      <c r="NDU11" s="9"/>
      <c r="NDV11" s="6"/>
      <c r="NEG11" s="6"/>
      <c r="NEH11" s="6"/>
      <c r="NEI11" s="9"/>
      <c r="NEJ11" s="6"/>
      <c r="NEU11" s="6"/>
      <c r="NEV11" s="6"/>
      <c r="NEW11" s="9"/>
      <c r="NEX11" s="6"/>
      <c r="NFI11" s="6"/>
      <c r="NFJ11" s="6"/>
      <c r="NFK11" s="9"/>
      <c r="NFL11" s="6"/>
      <c r="NFW11" s="6"/>
      <c r="NFX11" s="6"/>
      <c r="NFY11" s="9"/>
      <c r="NFZ11" s="6"/>
      <c r="NGK11" s="6"/>
      <c r="NGL11" s="6"/>
      <c r="NGM11" s="9"/>
      <c r="NGN11" s="6"/>
      <c r="NGY11" s="6"/>
      <c r="NGZ11" s="6"/>
      <c r="NHA11" s="9"/>
      <c r="NHB11" s="6"/>
      <c r="NHM11" s="6"/>
      <c r="NHN11" s="6"/>
      <c r="NHO11" s="9"/>
      <c r="NHP11" s="6"/>
      <c r="NIA11" s="6"/>
      <c r="NIB11" s="6"/>
      <c r="NIC11" s="9"/>
      <c r="NID11" s="6"/>
      <c r="NIO11" s="6"/>
      <c r="NIP11" s="6"/>
      <c r="NIQ11" s="9"/>
      <c r="NIR11" s="6"/>
      <c r="NJC11" s="6"/>
      <c r="NJD11" s="6"/>
      <c r="NJE11" s="9"/>
      <c r="NJF11" s="6"/>
      <c r="NJQ11" s="6"/>
      <c r="NJR11" s="6"/>
      <c r="NJS11" s="9"/>
      <c r="NJT11" s="6"/>
      <c r="NKE11" s="6"/>
      <c r="NKF11" s="6"/>
      <c r="NKG11" s="9"/>
      <c r="NKH11" s="6"/>
      <c r="NKS11" s="6"/>
      <c r="NKT11" s="6"/>
      <c r="NKU11" s="9"/>
      <c r="NKV11" s="6"/>
      <c r="NLG11" s="6"/>
      <c r="NLH11" s="6"/>
      <c r="NLI11" s="9"/>
      <c r="NLJ11" s="6"/>
      <c r="NLU11" s="6"/>
      <c r="NLV11" s="6"/>
      <c r="NLW11" s="9"/>
      <c r="NLX11" s="6"/>
      <c r="NMI11" s="6"/>
      <c r="NMJ11" s="6"/>
      <c r="NMK11" s="9"/>
      <c r="NML11" s="6"/>
      <c r="NMW11" s="6"/>
      <c r="NMX11" s="6"/>
      <c r="NMY11" s="9"/>
      <c r="NMZ11" s="6"/>
      <c r="NNK11" s="6"/>
      <c r="NNL11" s="6"/>
      <c r="NNM11" s="9"/>
      <c r="NNN11" s="6"/>
      <c r="NNY11" s="6"/>
      <c r="NNZ11" s="6"/>
      <c r="NOA11" s="9"/>
      <c r="NOB11" s="6"/>
      <c r="NOM11" s="6"/>
      <c r="NON11" s="6"/>
      <c r="NOO11" s="9"/>
      <c r="NOP11" s="6"/>
      <c r="NPA11" s="6"/>
      <c r="NPB11" s="6"/>
      <c r="NPC11" s="9"/>
      <c r="NPD11" s="6"/>
      <c r="NPO11" s="6"/>
      <c r="NPP11" s="6"/>
      <c r="NPQ11" s="9"/>
      <c r="NPR11" s="6"/>
      <c r="NQC11" s="6"/>
      <c r="NQD11" s="6"/>
      <c r="NQE11" s="9"/>
      <c r="NQF11" s="6"/>
      <c r="NQQ11" s="6"/>
      <c r="NQR11" s="6"/>
      <c r="NQS11" s="9"/>
      <c r="NQT11" s="6"/>
      <c r="NRE11" s="6"/>
      <c r="NRF11" s="6"/>
      <c r="NRG11" s="9"/>
      <c r="NRH11" s="6"/>
      <c r="NRS11" s="6"/>
      <c r="NRT11" s="6"/>
      <c r="NRU11" s="9"/>
      <c r="NRV11" s="6"/>
      <c r="NSG11" s="6"/>
      <c r="NSH11" s="6"/>
      <c r="NSI11" s="9"/>
      <c r="NSJ11" s="6"/>
      <c r="NSU11" s="6"/>
      <c r="NSV11" s="6"/>
      <c r="NSW11" s="9"/>
      <c r="NSX11" s="6"/>
      <c r="NTI11" s="6"/>
      <c r="NTJ11" s="6"/>
      <c r="NTK11" s="9"/>
      <c r="NTL11" s="6"/>
      <c r="NTW11" s="6"/>
      <c r="NTX11" s="6"/>
      <c r="NTY11" s="9"/>
      <c r="NTZ11" s="6"/>
      <c r="NUK11" s="6"/>
      <c r="NUL11" s="6"/>
      <c r="NUM11" s="9"/>
      <c r="NUN11" s="6"/>
      <c r="NUY11" s="6"/>
      <c r="NUZ11" s="6"/>
      <c r="NVA11" s="9"/>
      <c r="NVB11" s="6"/>
      <c r="NVM11" s="6"/>
      <c r="NVN11" s="6"/>
      <c r="NVO11" s="9"/>
      <c r="NVP11" s="6"/>
      <c r="NWA11" s="6"/>
      <c r="NWB11" s="6"/>
      <c r="NWC11" s="9"/>
      <c r="NWD11" s="6"/>
      <c r="NWO11" s="6"/>
      <c r="NWP11" s="6"/>
      <c r="NWQ11" s="9"/>
      <c r="NWR11" s="6"/>
      <c r="NXC11" s="6"/>
      <c r="NXD11" s="6"/>
      <c r="NXE11" s="9"/>
      <c r="NXF11" s="6"/>
      <c r="NXQ11" s="6"/>
      <c r="NXR11" s="6"/>
      <c r="NXS11" s="9"/>
      <c r="NXT11" s="6"/>
      <c r="NYE11" s="6"/>
      <c r="NYF11" s="6"/>
      <c r="NYG11" s="9"/>
      <c r="NYH11" s="6"/>
      <c r="NYS11" s="6"/>
      <c r="NYT11" s="6"/>
      <c r="NYU11" s="9"/>
      <c r="NYV11" s="6"/>
      <c r="NZG11" s="6"/>
      <c r="NZH11" s="6"/>
      <c r="NZI11" s="9"/>
      <c r="NZJ11" s="6"/>
      <c r="NZU11" s="6"/>
      <c r="NZV11" s="6"/>
      <c r="NZW11" s="9"/>
      <c r="NZX11" s="6"/>
      <c r="OAI11" s="6"/>
      <c r="OAJ11" s="6"/>
      <c r="OAK11" s="9"/>
      <c r="OAL11" s="6"/>
      <c r="OAW11" s="6"/>
      <c r="OAX11" s="6"/>
      <c r="OAY11" s="9"/>
      <c r="OAZ11" s="6"/>
      <c r="OBK11" s="6"/>
      <c r="OBL11" s="6"/>
      <c r="OBM11" s="9"/>
      <c r="OBN11" s="6"/>
      <c r="OBY11" s="6"/>
      <c r="OBZ11" s="6"/>
      <c r="OCA11" s="9"/>
      <c r="OCB11" s="6"/>
      <c r="OCM11" s="6"/>
      <c r="OCN11" s="6"/>
      <c r="OCO11" s="9"/>
      <c r="OCP11" s="6"/>
      <c r="ODA11" s="6"/>
      <c r="ODB11" s="6"/>
      <c r="ODC11" s="9"/>
      <c r="ODD11" s="6"/>
      <c r="ODO11" s="6"/>
      <c r="ODP11" s="6"/>
      <c r="ODQ11" s="9"/>
      <c r="ODR11" s="6"/>
      <c r="OEC11" s="6"/>
      <c r="OED11" s="6"/>
      <c r="OEE11" s="9"/>
      <c r="OEF11" s="6"/>
      <c r="OEQ11" s="6"/>
      <c r="OER11" s="6"/>
      <c r="OES11" s="9"/>
      <c r="OET11" s="6"/>
      <c r="OFE11" s="6"/>
      <c r="OFF11" s="6"/>
      <c r="OFG11" s="9"/>
      <c r="OFH11" s="6"/>
      <c r="OFS11" s="6"/>
      <c r="OFT11" s="6"/>
      <c r="OFU11" s="9"/>
      <c r="OFV11" s="6"/>
      <c r="OGG11" s="6"/>
      <c r="OGH11" s="6"/>
      <c r="OGI11" s="9"/>
      <c r="OGJ11" s="6"/>
      <c r="OGU11" s="6"/>
      <c r="OGV11" s="6"/>
      <c r="OGW11" s="9"/>
      <c r="OGX11" s="6"/>
      <c r="OHI11" s="6"/>
      <c r="OHJ11" s="6"/>
      <c r="OHK11" s="9"/>
      <c r="OHL11" s="6"/>
      <c r="OHW11" s="6"/>
      <c r="OHX11" s="6"/>
      <c r="OHY11" s="9"/>
      <c r="OHZ11" s="6"/>
      <c r="OIK11" s="6"/>
      <c r="OIL11" s="6"/>
      <c r="OIM11" s="9"/>
      <c r="OIN11" s="6"/>
      <c r="OIY11" s="6"/>
      <c r="OIZ11" s="6"/>
      <c r="OJA11" s="9"/>
      <c r="OJB11" s="6"/>
      <c r="OJM11" s="6"/>
      <c r="OJN11" s="6"/>
      <c r="OJO11" s="9"/>
      <c r="OJP11" s="6"/>
      <c r="OKA11" s="6"/>
      <c r="OKB11" s="6"/>
      <c r="OKC11" s="9"/>
      <c r="OKD11" s="6"/>
      <c r="OKO11" s="6"/>
      <c r="OKP11" s="6"/>
      <c r="OKQ11" s="9"/>
      <c r="OKR11" s="6"/>
      <c r="OLC11" s="6"/>
      <c r="OLD11" s="6"/>
      <c r="OLE11" s="9"/>
      <c r="OLF11" s="6"/>
      <c r="OLQ11" s="6"/>
      <c r="OLR11" s="6"/>
      <c r="OLS11" s="9"/>
      <c r="OLT11" s="6"/>
      <c r="OME11" s="6"/>
      <c r="OMF11" s="6"/>
      <c r="OMG11" s="9"/>
      <c r="OMH11" s="6"/>
      <c r="OMS11" s="6"/>
      <c r="OMT11" s="6"/>
      <c r="OMU11" s="9"/>
      <c r="OMV11" s="6"/>
      <c r="ONG11" s="6"/>
      <c r="ONH11" s="6"/>
      <c r="ONI11" s="9"/>
      <c r="ONJ11" s="6"/>
      <c r="ONU11" s="6"/>
      <c r="ONV11" s="6"/>
      <c r="ONW11" s="9"/>
      <c r="ONX11" s="6"/>
      <c r="OOI11" s="6"/>
      <c r="OOJ11" s="6"/>
      <c r="OOK11" s="9"/>
      <c r="OOL11" s="6"/>
      <c r="OOW11" s="6"/>
      <c r="OOX11" s="6"/>
      <c r="OOY11" s="9"/>
      <c r="OOZ11" s="6"/>
      <c r="OPK11" s="6"/>
      <c r="OPL11" s="6"/>
      <c r="OPM11" s="9"/>
      <c r="OPN11" s="6"/>
      <c r="OPY11" s="6"/>
      <c r="OPZ11" s="6"/>
      <c r="OQA11" s="9"/>
      <c r="OQB11" s="6"/>
      <c r="OQM11" s="6"/>
      <c r="OQN11" s="6"/>
      <c r="OQO11" s="9"/>
      <c r="OQP11" s="6"/>
      <c r="ORA11" s="6"/>
      <c r="ORB11" s="6"/>
      <c r="ORC11" s="9"/>
      <c r="ORD11" s="6"/>
      <c r="ORO11" s="6"/>
      <c r="ORP11" s="6"/>
      <c r="ORQ11" s="9"/>
      <c r="ORR11" s="6"/>
      <c r="OSC11" s="6"/>
      <c r="OSD11" s="6"/>
      <c r="OSE11" s="9"/>
      <c r="OSF11" s="6"/>
      <c r="OSQ11" s="6"/>
      <c r="OSR11" s="6"/>
      <c r="OSS11" s="9"/>
      <c r="OST11" s="6"/>
      <c r="OTE11" s="6"/>
      <c r="OTF11" s="6"/>
      <c r="OTG11" s="9"/>
      <c r="OTH11" s="6"/>
      <c r="OTS11" s="6"/>
      <c r="OTT11" s="6"/>
      <c r="OTU11" s="9"/>
      <c r="OTV11" s="6"/>
      <c r="OUG11" s="6"/>
      <c r="OUH11" s="6"/>
      <c r="OUI11" s="9"/>
      <c r="OUJ11" s="6"/>
      <c r="OUU11" s="6"/>
      <c r="OUV11" s="6"/>
      <c r="OUW11" s="9"/>
      <c r="OUX11" s="6"/>
      <c r="OVI11" s="6"/>
      <c r="OVJ11" s="6"/>
      <c r="OVK11" s="9"/>
      <c r="OVL11" s="6"/>
      <c r="OVW11" s="6"/>
      <c r="OVX11" s="6"/>
      <c r="OVY11" s="9"/>
      <c r="OVZ11" s="6"/>
      <c r="OWK11" s="6"/>
      <c r="OWL11" s="6"/>
      <c r="OWM11" s="9"/>
      <c r="OWN11" s="6"/>
      <c r="OWY11" s="6"/>
      <c r="OWZ11" s="6"/>
      <c r="OXA11" s="9"/>
      <c r="OXB11" s="6"/>
      <c r="OXM11" s="6"/>
      <c r="OXN11" s="6"/>
      <c r="OXO11" s="9"/>
      <c r="OXP11" s="6"/>
      <c r="OYA11" s="6"/>
      <c r="OYB11" s="6"/>
      <c r="OYC11" s="9"/>
      <c r="OYD11" s="6"/>
      <c r="OYO11" s="6"/>
      <c r="OYP11" s="6"/>
      <c r="OYQ11" s="9"/>
      <c r="OYR11" s="6"/>
      <c r="OZC11" s="6"/>
      <c r="OZD11" s="6"/>
      <c r="OZE11" s="9"/>
      <c r="OZF11" s="6"/>
      <c r="OZQ11" s="6"/>
      <c r="OZR11" s="6"/>
      <c r="OZS11" s="9"/>
      <c r="OZT11" s="6"/>
      <c r="PAE11" s="6"/>
      <c r="PAF11" s="6"/>
      <c r="PAG11" s="9"/>
      <c r="PAH11" s="6"/>
      <c r="PAS11" s="6"/>
      <c r="PAT11" s="6"/>
      <c r="PAU11" s="9"/>
      <c r="PAV11" s="6"/>
      <c r="PBG11" s="6"/>
      <c r="PBH11" s="6"/>
      <c r="PBI11" s="9"/>
      <c r="PBJ11" s="6"/>
      <c r="PBU11" s="6"/>
      <c r="PBV11" s="6"/>
      <c r="PBW11" s="9"/>
      <c r="PBX11" s="6"/>
      <c r="PCI11" s="6"/>
      <c r="PCJ11" s="6"/>
      <c r="PCK11" s="9"/>
      <c r="PCL11" s="6"/>
      <c r="PCW11" s="6"/>
      <c r="PCX11" s="6"/>
      <c r="PCY11" s="9"/>
      <c r="PCZ11" s="6"/>
      <c r="PDK11" s="6"/>
      <c r="PDL11" s="6"/>
      <c r="PDM11" s="9"/>
      <c r="PDN11" s="6"/>
      <c r="PDY11" s="6"/>
      <c r="PDZ11" s="6"/>
      <c r="PEA11" s="9"/>
      <c r="PEB11" s="6"/>
      <c r="PEM11" s="6"/>
      <c r="PEN11" s="6"/>
      <c r="PEO11" s="9"/>
      <c r="PEP11" s="6"/>
      <c r="PFA11" s="6"/>
      <c r="PFB11" s="6"/>
      <c r="PFC11" s="9"/>
      <c r="PFD11" s="6"/>
      <c r="PFO11" s="6"/>
      <c r="PFP11" s="6"/>
      <c r="PFQ11" s="9"/>
      <c r="PFR11" s="6"/>
      <c r="PGC11" s="6"/>
      <c r="PGD11" s="6"/>
      <c r="PGE11" s="9"/>
      <c r="PGF11" s="6"/>
      <c r="PGQ11" s="6"/>
      <c r="PGR11" s="6"/>
      <c r="PGS11" s="9"/>
      <c r="PGT11" s="6"/>
      <c r="PHE11" s="6"/>
      <c r="PHF11" s="6"/>
      <c r="PHG11" s="9"/>
      <c r="PHH11" s="6"/>
      <c r="PHS11" s="6"/>
      <c r="PHT11" s="6"/>
      <c r="PHU11" s="9"/>
      <c r="PHV11" s="6"/>
      <c r="PIG11" s="6"/>
      <c r="PIH11" s="6"/>
      <c r="PII11" s="9"/>
      <c r="PIJ11" s="6"/>
      <c r="PIU11" s="6"/>
      <c r="PIV11" s="6"/>
      <c r="PIW11" s="9"/>
      <c r="PIX11" s="6"/>
      <c r="PJI11" s="6"/>
      <c r="PJJ11" s="6"/>
      <c r="PJK11" s="9"/>
      <c r="PJL11" s="6"/>
      <c r="PJW11" s="6"/>
      <c r="PJX11" s="6"/>
      <c r="PJY11" s="9"/>
      <c r="PJZ11" s="6"/>
      <c r="PKK11" s="6"/>
      <c r="PKL11" s="6"/>
      <c r="PKM11" s="9"/>
      <c r="PKN11" s="6"/>
      <c r="PKY11" s="6"/>
      <c r="PKZ11" s="6"/>
      <c r="PLA11" s="9"/>
      <c r="PLB11" s="6"/>
      <c r="PLM11" s="6"/>
      <c r="PLN11" s="6"/>
      <c r="PLO11" s="9"/>
      <c r="PLP11" s="6"/>
      <c r="PMA11" s="6"/>
      <c r="PMB11" s="6"/>
      <c r="PMC11" s="9"/>
      <c r="PMD11" s="6"/>
      <c r="PMO11" s="6"/>
      <c r="PMP11" s="6"/>
      <c r="PMQ11" s="9"/>
      <c r="PMR11" s="6"/>
      <c r="PNC11" s="6"/>
      <c r="PND11" s="6"/>
      <c r="PNE11" s="9"/>
      <c r="PNF11" s="6"/>
      <c r="PNQ11" s="6"/>
      <c r="PNR11" s="6"/>
      <c r="PNS11" s="9"/>
      <c r="PNT11" s="6"/>
      <c r="POE11" s="6"/>
      <c r="POF11" s="6"/>
      <c r="POG11" s="9"/>
      <c r="POH11" s="6"/>
      <c r="POS11" s="6"/>
      <c r="POT11" s="6"/>
      <c r="POU11" s="9"/>
      <c r="POV11" s="6"/>
      <c r="PPG11" s="6"/>
      <c r="PPH11" s="6"/>
      <c r="PPI11" s="9"/>
      <c r="PPJ11" s="6"/>
      <c r="PPU11" s="6"/>
      <c r="PPV11" s="6"/>
      <c r="PPW11" s="9"/>
      <c r="PPX11" s="6"/>
      <c r="PQI11" s="6"/>
      <c r="PQJ11" s="6"/>
      <c r="PQK11" s="9"/>
      <c r="PQL11" s="6"/>
      <c r="PQW11" s="6"/>
      <c r="PQX11" s="6"/>
      <c r="PQY11" s="9"/>
      <c r="PQZ11" s="6"/>
      <c r="PRK11" s="6"/>
      <c r="PRL11" s="6"/>
      <c r="PRM11" s="9"/>
      <c r="PRN11" s="6"/>
      <c r="PRY11" s="6"/>
      <c r="PRZ11" s="6"/>
      <c r="PSA11" s="9"/>
      <c r="PSB11" s="6"/>
      <c r="PSM11" s="6"/>
      <c r="PSN11" s="6"/>
      <c r="PSO11" s="9"/>
      <c r="PSP11" s="6"/>
      <c r="PTA11" s="6"/>
      <c r="PTB11" s="6"/>
      <c r="PTC11" s="9"/>
      <c r="PTD11" s="6"/>
      <c r="PTO11" s="6"/>
      <c r="PTP11" s="6"/>
      <c r="PTQ11" s="9"/>
      <c r="PTR11" s="6"/>
      <c r="PUC11" s="6"/>
      <c r="PUD11" s="6"/>
      <c r="PUE11" s="9"/>
      <c r="PUF11" s="6"/>
      <c r="PUQ11" s="6"/>
      <c r="PUR11" s="6"/>
      <c r="PUS11" s="9"/>
      <c r="PUT11" s="6"/>
      <c r="PVE11" s="6"/>
      <c r="PVF11" s="6"/>
      <c r="PVG11" s="9"/>
      <c r="PVH11" s="6"/>
      <c r="PVS11" s="6"/>
      <c r="PVT11" s="6"/>
      <c r="PVU11" s="9"/>
      <c r="PVV11" s="6"/>
      <c r="PWG11" s="6"/>
      <c r="PWH11" s="6"/>
      <c r="PWI11" s="9"/>
      <c r="PWJ11" s="6"/>
      <c r="PWU11" s="6"/>
      <c r="PWV11" s="6"/>
      <c r="PWW11" s="9"/>
      <c r="PWX11" s="6"/>
      <c r="PXI11" s="6"/>
      <c r="PXJ11" s="6"/>
      <c r="PXK11" s="9"/>
      <c r="PXL11" s="6"/>
      <c r="PXW11" s="6"/>
      <c r="PXX11" s="6"/>
      <c r="PXY11" s="9"/>
      <c r="PXZ11" s="6"/>
      <c r="PYK11" s="6"/>
      <c r="PYL11" s="6"/>
      <c r="PYM11" s="9"/>
      <c r="PYN11" s="6"/>
      <c r="PYY11" s="6"/>
      <c r="PYZ11" s="6"/>
      <c r="PZA11" s="9"/>
      <c r="PZB11" s="6"/>
      <c r="PZM11" s="6"/>
      <c r="PZN11" s="6"/>
      <c r="PZO11" s="9"/>
      <c r="PZP11" s="6"/>
      <c r="QAA11" s="6"/>
      <c r="QAB11" s="6"/>
      <c r="QAC11" s="9"/>
      <c r="QAD11" s="6"/>
      <c r="QAO11" s="6"/>
      <c r="QAP11" s="6"/>
      <c r="QAQ11" s="9"/>
      <c r="QAR11" s="6"/>
      <c r="QBC11" s="6"/>
      <c r="QBD11" s="6"/>
      <c r="QBE11" s="9"/>
      <c r="QBF11" s="6"/>
      <c r="QBQ11" s="6"/>
      <c r="QBR11" s="6"/>
      <c r="QBS11" s="9"/>
      <c r="QBT11" s="6"/>
      <c r="QCE11" s="6"/>
      <c r="QCF11" s="6"/>
      <c r="QCG11" s="9"/>
      <c r="QCH11" s="6"/>
      <c r="QCS11" s="6"/>
      <c r="QCT11" s="6"/>
      <c r="QCU11" s="9"/>
      <c r="QCV11" s="6"/>
      <c r="QDG11" s="6"/>
      <c r="QDH11" s="6"/>
      <c r="QDI11" s="9"/>
      <c r="QDJ11" s="6"/>
      <c r="QDU11" s="6"/>
      <c r="QDV11" s="6"/>
      <c r="QDW11" s="9"/>
      <c r="QDX11" s="6"/>
      <c r="QEI11" s="6"/>
      <c r="QEJ11" s="6"/>
      <c r="QEK11" s="9"/>
      <c r="QEL11" s="6"/>
      <c r="QEW11" s="6"/>
      <c r="QEX11" s="6"/>
      <c r="QEY11" s="9"/>
      <c r="QEZ11" s="6"/>
      <c r="QFK11" s="6"/>
      <c r="QFL11" s="6"/>
      <c r="QFM11" s="9"/>
      <c r="QFN11" s="6"/>
      <c r="QFY11" s="6"/>
      <c r="QFZ11" s="6"/>
      <c r="QGA11" s="9"/>
      <c r="QGB11" s="6"/>
      <c r="QGM11" s="6"/>
      <c r="QGN11" s="6"/>
      <c r="QGO11" s="9"/>
      <c r="QGP11" s="6"/>
      <c r="QHA11" s="6"/>
      <c r="QHB11" s="6"/>
      <c r="QHC11" s="9"/>
      <c r="QHD11" s="6"/>
      <c r="QHO11" s="6"/>
      <c r="QHP11" s="6"/>
      <c r="QHQ11" s="9"/>
      <c r="QHR11" s="6"/>
      <c r="QIC11" s="6"/>
      <c r="QID11" s="6"/>
      <c r="QIE11" s="9"/>
      <c r="QIF11" s="6"/>
      <c r="QIQ11" s="6"/>
      <c r="QIR11" s="6"/>
      <c r="QIS11" s="9"/>
      <c r="QIT11" s="6"/>
      <c r="QJE11" s="6"/>
      <c r="QJF11" s="6"/>
      <c r="QJG11" s="9"/>
      <c r="QJH11" s="6"/>
      <c r="QJS11" s="6"/>
      <c r="QJT11" s="6"/>
      <c r="QJU11" s="9"/>
      <c r="QJV11" s="6"/>
      <c r="QKG11" s="6"/>
      <c r="QKH11" s="6"/>
      <c r="QKI11" s="9"/>
      <c r="QKJ11" s="6"/>
      <c r="QKU11" s="6"/>
      <c r="QKV11" s="6"/>
      <c r="QKW11" s="9"/>
      <c r="QKX11" s="6"/>
      <c r="QLI11" s="6"/>
      <c r="QLJ11" s="6"/>
      <c r="QLK11" s="9"/>
      <c r="QLL11" s="6"/>
      <c r="QLW11" s="6"/>
      <c r="QLX11" s="6"/>
      <c r="QLY11" s="9"/>
      <c r="QLZ11" s="6"/>
      <c r="QMK11" s="6"/>
      <c r="QML11" s="6"/>
      <c r="QMM11" s="9"/>
      <c r="QMN11" s="6"/>
      <c r="QMY11" s="6"/>
      <c r="QMZ11" s="6"/>
      <c r="QNA11" s="9"/>
      <c r="QNB11" s="6"/>
      <c r="QNM11" s="6"/>
      <c r="QNN11" s="6"/>
      <c r="QNO11" s="9"/>
      <c r="QNP11" s="6"/>
      <c r="QOA11" s="6"/>
      <c r="QOB11" s="6"/>
      <c r="QOC11" s="9"/>
      <c r="QOD11" s="6"/>
      <c r="QOO11" s="6"/>
      <c r="QOP11" s="6"/>
      <c r="QOQ11" s="9"/>
      <c r="QOR11" s="6"/>
      <c r="QPC11" s="6"/>
      <c r="QPD11" s="6"/>
      <c r="QPE11" s="9"/>
      <c r="QPF11" s="6"/>
      <c r="QPQ11" s="6"/>
      <c r="QPR11" s="6"/>
      <c r="QPS11" s="9"/>
      <c r="QPT11" s="6"/>
      <c r="QQE11" s="6"/>
      <c r="QQF11" s="6"/>
      <c r="QQG11" s="9"/>
      <c r="QQH11" s="6"/>
      <c r="QQS11" s="6"/>
      <c r="QQT11" s="6"/>
      <c r="QQU11" s="9"/>
      <c r="QQV11" s="6"/>
      <c r="QRG11" s="6"/>
      <c r="QRH11" s="6"/>
      <c r="QRI11" s="9"/>
      <c r="QRJ11" s="6"/>
      <c r="QRU11" s="6"/>
      <c r="QRV11" s="6"/>
      <c r="QRW11" s="9"/>
      <c r="QRX11" s="6"/>
      <c r="QSI11" s="6"/>
      <c r="QSJ11" s="6"/>
      <c r="QSK11" s="9"/>
      <c r="QSL11" s="6"/>
      <c r="QSW11" s="6"/>
      <c r="QSX11" s="6"/>
      <c r="QSY11" s="9"/>
      <c r="QSZ11" s="6"/>
      <c r="QTK11" s="6"/>
      <c r="QTL11" s="6"/>
      <c r="QTM11" s="9"/>
      <c r="QTN11" s="6"/>
      <c r="QTY11" s="6"/>
      <c r="QTZ11" s="6"/>
      <c r="QUA11" s="9"/>
      <c r="QUB11" s="6"/>
      <c r="QUM11" s="6"/>
      <c r="QUN11" s="6"/>
      <c r="QUO11" s="9"/>
      <c r="QUP11" s="6"/>
      <c r="QVA11" s="6"/>
      <c r="QVB11" s="6"/>
      <c r="QVC11" s="9"/>
      <c r="QVD11" s="6"/>
      <c r="QVO11" s="6"/>
      <c r="QVP11" s="6"/>
      <c r="QVQ11" s="9"/>
      <c r="QVR11" s="6"/>
      <c r="QWC11" s="6"/>
      <c r="QWD11" s="6"/>
      <c r="QWE11" s="9"/>
      <c r="QWF11" s="6"/>
      <c r="QWQ11" s="6"/>
      <c r="QWR11" s="6"/>
      <c r="QWS11" s="9"/>
      <c r="QWT11" s="6"/>
      <c r="QXE11" s="6"/>
      <c r="QXF11" s="6"/>
      <c r="QXG11" s="9"/>
      <c r="QXH11" s="6"/>
      <c r="QXS11" s="6"/>
      <c r="QXT11" s="6"/>
      <c r="QXU11" s="9"/>
      <c r="QXV11" s="6"/>
      <c r="QYG11" s="6"/>
      <c r="QYH11" s="6"/>
      <c r="QYI11" s="9"/>
      <c r="QYJ11" s="6"/>
      <c r="QYU11" s="6"/>
      <c r="QYV11" s="6"/>
      <c r="QYW11" s="9"/>
      <c r="QYX11" s="6"/>
      <c r="QZI11" s="6"/>
      <c r="QZJ11" s="6"/>
      <c r="QZK11" s="9"/>
      <c r="QZL11" s="6"/>
      <c r="QZW11" s="6"/>
      <c r="QZX11" s="6"/>
      <c r="QZY11" s="9"/>
      <c r="QZZ11" s="6"/>
      <c r="RAK11" s="6"/>
      <c r="RAL11" s="6"/>
      <c r="RAM11" s="9"/>
      <c r="RAN11" s="6"/>
      <c r="RAY11" s="6"/>
      <c r="RAZ11" s="6"/>
      <c r="RBA11" s="9"/>
      <c r="RBB11" s="6"/>
      <c r="RBM11" s="6"/>
      <c r="RBN11" s="6"/>
      <c r="RBO11" s="9"/>
      <c r="RBP11" s="6"/>
      <c r="RCA11" s="6"/>
      <c r="RCB11" s="6"/>
      <c r="RCC11" s="9"/>
      <c r="RCD11" s="6"/>
      <c r="RCO11" s="6"/>
      <c r="RCP11" s="6"/>
      <c r="RCQ11" s="9"/>
      <c r="RCR11" s="6"/>
      <c r="RDC11" s="6"/>
      <c r="RDD11" s="6"/>
      <c r="RDE11" s="9"/>
      <c r="RDF11" s="6"/>
      <c r="RDQ11" s="6"/>
      <c r="RDR11" s="6"/>
      <c r="RDS11" s="9"/>
      <c r="RDT11" s="6"/>
      <c r="REE11" s="6"/>
      <c r="REF11" s="6"/>
      <c r="REG11" s="9"/>
      <c r="REH11" s="6"/>
      <c r="RES11" s="6"/>
      <c r="RET11" s="6"/>
      <c r="REU11" s="9"/>
      <c r="REV11" s="6"/>
      <c r="RFG11" s="6"/>
      <c r="RFH11" s="6"/>
      <c r="RFI11" s="9"/>
      <c r="RFJ11" s="6"/>
      <c r="RFU11" s="6"/>
      <c r="RFV11" s="6"/>
      <c r="RFW11" s="9"/>
      <c r="RFX11" s="6"/>
      <c r="RGI11" s="6"/>
      <c r="RGJ11" s="6"/>
      <c r="RGK11" s="9"/>
      <c r="RGL11" s="6"/>
      <c r="RGW11" s="6"/>
      <c r="RGX11" s="6"/>
      <c r="RGY11" s="9"/>
      <c r="RGZ11" s="6"/>
      <c r="RHK11" s="6"/>
      <c r="RHL11" s="6"/>
      <c r="RHM11" s="9"/>
      <c r="RHN11" s="6"/>
      <c r="RHY11" s="6"/>
      <c r="RHZ11" s="6"/>
      <c r="RIA11" s="9"/>
      <c r="RIB11" s="6"/>
      <c r="RIM11" s="6"/>
      <c r="RIN11" s="6"/>
      <c r="RIO11" s="9"/>
      <c r="RIP11" s="6"/>
      <c r="RJA11" s="6"/>
      <c r="RJB11" s="6"/>
      <c r="RJC11" s="9"/>
      <c r="RJD11" s="6"/>
      <c r="RJO11" s="6"/>
      <c r="RJP11" s="6"/>
      <c r="RJQ11" s="9"/>
      <c r="RJR11" s="6"/>
      <c r="RKC11" s="6"/>
      <c r="RKD11" s="6"/>
      <c r="RKE11" s="9"/>
      <c r="RKF11" s="6"/>
      <c r="RKQ11" s="6"/>
      <c r="RKR11" s="6"/>
      <c r="RKS11" s="9"/>
      <c r="RKT11" s="6"/>
      <c r="RLE11" s="6"/>
      <c r="RLF11" s="6"/>
      <c r="RLG11" s="9"/>
      <c r="RLH11" s="6"/>
      <c r="RLS11" s="6"/>
      <c r="RLT11" s="6"/>
      <c r="RLU11" s="9"/>
      <c r="RLV11" s="6"/>
      <c r="RMG11" s="6"/>
      <c r="RMH11" s="6"/>
      <c r="RMI11" s="9"/>
      <c r="RMJ11" s="6"/>
      <c r="RMU11" s="6"/>
      <c r="RMV11" s="6"/>
      <c r="RMW11" s="9"/>
      <c r="RMX11" s="6"/>
      <c r="RNI11" s="6"/>
      <c r="RNJ11" s="6"/>
      <c r="RNK11" s="9"/>
      <c r="RNL11" s="6"/>
      <c r="RNW11" s="6"/>
      <c r="RNX11" s="6"/>
      <c r="RNY11" s="9"/>
      <c r="RNZ11" s="6"/>
      <c r="ROK11" s="6"/>
      <c r="ROL11" s="6"/>
      <c r="ROM11" s="9"/>
      <c r="RON11" s="6"/>
      <c r="ROY11" s="6"/>
      <c r="ROZ11" s="6"/>
      <c r="RPA11" s="9"/>
      <c r="RPB11" s="6"/>
      <c r="RPM11" s="6"/>
      <c r="RPN11" s="6"/>
      <c r="RPO11" s="9"/>
      <c r="RPP11" s="6"/>
      <c r="RQA11" s="6"/>
      <c r="RQB11" s="6"/>
      <c r="RQC11" s="9"/>
      <c r="RQD11" s="6"/>
      <c r="RQO11" s="6"/>
      <c r="RQP11" s="6"/>
      <c r="RQQ11" s="9"/>
      <c r="RQR11" s="6"/>
      <c r="RRC11" s="6"/>
      <c r="RRD11" s="6"/>
      <c r="RRE11" s="9"/>
      <c r="RRF11" s="6"/>
      <c r="RRQ11" s="6"/>
      <c r="RRR11" s="6"/>
      <c r="RRS11" s="9"/>
      <c r="RRT11" s="6"/>
      <c r="RSE11" s="6"/>
      <c r="RSF11" s="6"/>
      <c r="RSG11" s="9"/>
      <c r="RSH11" s="6"/>
      <c r="RSS11" s="6"/>
      <c r="RST11" s="6"/>
      <c r="RSU11" s="9"/>
      <c r="RSV11" s="6"/>
      <c r="RTG11" s="6"/>
      <c r="RTH11" s="6"/>
      <c r="RTI11" s="9"/>
      <c r="RTJ11" s="6"/>
      <c r="RTU11" s="6"/>
      <c r="RTV11" s="6"/>
      <c r="RTW11" s="9"/>
      <c r="RTX11" s="6"/>
      <c r="RUI11" s="6"/>
      <c r="RUJ11" s="6"/>
      <c r="RUK11" s="9"/>
      <c r="RUL11" s="6"/>
      <c r="RUW11" s="6"/>
      <c r="RUX11" s="6"/>
      <c r="RUY11" s="9"/>
      <c r="RUZ11" s="6"/>
      <c r="RVK11" s="6"/>
      <c r="RVL11" s="6"/>
      <c r="RVM11" s="9"/>
      <c r="RVN11" s="6"/>
      <c r="RVY11" s="6"/>
      <c r="RVZ11" s="6"/>
      <c r="RWA11" s="9"/>
      <c r="RWB11" s="6"/>
      <c r="RWM11" s="6"/>
      <c r="RWN11" s="6"/>
      <c r="RWO11" s="9"/>
      <c r="RWP11" s="6"/>
      <c r="RXA11" s="6"/>
      <c r="RXB11" s="6"/>
      <c r="RXC11" s="9"/>
      <c r="RXD11" s="6"/>
      <c r="RXO11" s="6"/>
      <c r="RXP11" s="6"/>
      <c r="RXQ11" s="9"/>
      <c r="RXR11" s="6"/>
      <c r="RYC11" s="6"/>
      <c r="RYD11" s="6"/>
      <c r="RYE11" s="9"/>
      <c r="RYF11" s="6"/>
      <c r="RYQ11" s="6"/>
      <c r="RYR11" s="6"/>
      <c r="RYS11" s="9"/>
      <c r="RYT11" s="6"/>
      <c r="RZE11" s="6"/>
      <c r="RZF11" s="6"/>
      <c r="RZG11" s="9"/>
      <c r="RZH11" s="6"/>
      <c r="RZS11" s="6"/>
      <c r="RZT11" s="6"/>
      <c r="RZU11" s="9"/>
      <c r="RZV11" s="6"/>
      <c r="SAG11" s="6"/>
      <c r="SAH11" s="6"/>
      <c r="SAI11" s="9"/>
      <c r="SAJ11" s="6"/>
      <c r="SAU11" s="6"/>
      <c r="SAV11" s="6"/>
      <c r="SAW11" s="9"/>
      <c r="SAX11" s="6"/>
      <c r="SBI11" s="6"/>
      <c r="SBJ11" s="6"/>
      <c r="SBK11" s="9"/>
      <c r="SBL11" s="6"/>
      <c r="SBW11" s="6"/>
      <c r="SBX11" s="6"/>
      <c r="SBY11" s="9"/>
      <c r="SBZ11" s="6"/>
      <c r="SCK11" s="6"/>
      <c r="SCL11" s="6"/>
      <c r="SCM11" s="9"/>
      <c r="SCN11" s="6"/>
      <c r="SCY11" s="6"/>
      <c r="SCZ11" s="6"/>
      <c r="SDA11" s="9"/>
      <c r="SDB11" s="6"/>
      <c r="SDM11" s="6"/>
      <c r="SDN11" s="6"/>
      <c r="SDO11" s="9"/>
      <c r="SDP11" s="6"/>
      <c r="SEA11" s="6"/>
      <c r="SEB11" s="6"/>
      <c r="SEC11" s="9"/>
      <c r="SED11" s="6"/>
      <c r="SEO11" s="6"/>
      <c r="SEP11" s="6"/>
      <c r="SEQ11" s="9"/>
      <c r="SER11" s="6"/>
      <c r="SFC11" s="6"/>
      <c r="SFD11" s="6"/>
      <c r="SFE11" s="9"/>
      <c r="SFF11" s="6"/>
      <c r="SFQ11" s="6"/>
      <c r="SFR11" s="6"/>
      <c r="SFS11" s="9"/>
      <c r="SFT11" s="6"/>
      <c r="SGE11" s="6"/>
      <c r="SGF11" s="6"/>
      <c r="SGG11" s="9"/>
      <c r="SGH11" s="6"/>
      <c r="SGS11" s="6"/>
      <c r="SGT11" s="6"/>
      <c r="SGU11" s="9"/>
      <c r="SGV11" s="6"/>
      <c r="SHG11" s="6"/>
      <c r="SHH11" s="6"/>
      <c r="SHI11" s="9"/>
      <c r="SHJ11" s="6"/>
      <c r="SHU11" s="6"/>
      <c r="SHV11" s="6"/>
      <c r="SHW11" s="9"/>
      <c r="SHX11" s="6"/>
      <c r="SII11" s="6"/>
      <c r="SIJ11" s="6"/>
      <c r="SIK11" s="9"/>
      <c r="SIL11" s="6"/>
      <c r="SIW11" s="6"/>
      <c r="SIX11" s="6"/>
      <c r="SIY11" s="9"/>
      <c r="SIZ11" s="6"/>
      <c r="SJK11" s="6"/>
      <c r="SJL11" s="6"/>
      <c r="SJM11" s="9"/>
      <c r="SJN11" s="6"/>
      <c r="SJY11" s="6"/>
      <c r="SJZ11" s="6"/>
      <c r="SKA11" s="9"/>
      <c r="SKB11" s="6"/>
      <c r="SKM11" s="6"/>
      <c r="SKN11" s="6"/>
      <c r="SKO11" s="9"/>
      <c r="SKP11" s="6"/>
      <c r="SLA11" s="6"/>
      <c r="SLB11" s="6"/>
      <c r="SLC11" s="9"/>
      <c r="SLD11" s="6"/>
      <c r="SLO11" s="6"/>
      <c r="SLP11" s="6"/>
      <c r="SLQ11" s="9"/>
      <c r="SLR11" s="6"/>
      <c r="SMC11" s="6"/>
      <c r="SMD11" s="6"/>
      <c r="SME11" s="9"/>
      <c r="SMF11" s="6"/>
      <c r="SMQ11" s="6"/>
      <c r="SMR11" s="6"/>
      <c r="SMS11" s="9"/>
      <c r="SMT11" s="6"/>
      <c r="SNE11" s="6"/>
      <c r="SNF11" s="6"/>
      <c r="SNG11" s="9"/>
      <c r="SNH11" s="6"/>
      <c r="SNS11" s="6"/>
      <c r="SNT11" s="6"/>
      <c r="SNU11" s="9"/>
      <c r="SNV11" s="6"/>
      <c r="SOG11" s="6"/>
      <c r="SOH11" s="6"/>
      <c r="SOI11" s="9"/>
      <c r="SOJ11" s="6"/>
      <c r="SOU11" s="6"/>
      <c r="SOV11" s="6"/>
      <c r="SOW11" s="9"/>
      <c r="SOX11" s="6"/>
      <c r="SPI11" s="6"/>
      <c r="SPJ11" s="6"/>
      <c r="SPK11" s="9"/>
      <c r="SPL11" s="6"/>
      <c r="SPW11" s="6"/>
      <c r="SPX11" s="6"/>
      <c r="SPY11" s="9"/>
      <c r="SPZ11" s="6"/>
      <c r="SQK11" s="6"/>
      <c r="SQL11" s="6"/>
      <c r="SQM11" s="9"/>
      <c r="SQN11" s="6"/>
      <c r="SQY11" s="6"/>
      <c r="SQZ11" s="6"/>
      <c r="SRA11" s="9"/>
      <c r="SRB11" s="6"/>
      <c r="SRM11" s="6"/>
      <c r="SRN11" s="6"/>
      <c r="SRO11" s="9"/>
      <c r="SRP11" s="6"/>
      <c r="SSA11" s="6"/>
      <c r="SSB11" s="6"/>
      <c r="SSC11" s="9"/>
      <c r="SSD11" s="6"/>
      <c r="SSO11" s="6"/>
      <c r="SSP11" s="6"/>
      <c r="SSQ11" s="9"/>
      <c r="SSR11" s="6"/>
      <c r="STC11" s="6"/>
      <c r="STD11" s="6"/>
      <c r="STE11" s="9"/>
      <c r="STF11" s="6"/>
      <c r="STQ11" s="6"/>
      <c r="STR11" s="6"/>
      <c r="STS11" s="9"/>
      <c r="STT11" s="6"/>
      <c r="SUE11" s="6"/>
      <c r="SUF11" s="6"/>
      <c r="SUG11" s="9"/>
      <c r="SUH11" s="6"/>
      <c r="SUS11" s="6"/>
      <c r="SUT11" s="6"/>
      <c r="SUU11" s="9"/>
      <c r="SUV11" s="6"/>
      <c r="SVG11" s="6"/>
      <c r="SVH11" s="6"/>
      <c r="SVI11" s="9"/>
      <c r="SVJ11" s="6"/>
      <c r="SVU11" s="6"/>
      <c r="SVV11" s="6"/>
      <c r="SVW11" s="9"/>
      <c r="SVX11" s="6"/>
      <c r="SWI11" s="6"/>
      <c r="SWJ11" s="6"/>
      <c r="SWK11" s="9"/>
      <c r="SWL11" s="6"/>
      <c r="SWW11" s="6"/>
      <c r="SWX11" s="6"/>
      <c r="SWY11" s="9"/>
      <c r="SWZ11" s="6"/>
      <c r="SXK11" s="6"/>
      <c r="SXL11" s="6"/>
      <c r="SXM11" s="9"/>
      <c r="SXN11" s="6"/>
      <c r="SXY11" s="6"/>
      <c r="SXZ11" s="6"/>
      <c r="SYA11" s="9"/>
      <c r="SYB11" s="6"/>
      <c r="SYM11" s="6"/>
      <c r="SYN11" s="6"/>
      <c r="SYO11" s="9"/>
      <c r="SYP11" s="6"/>
      <c r="SZA11" s="6"/>
      <c r="SZB11" s="6"/>
      <c r="SZC11" s="9"/>
      <c r="SZD11" s="6"/>
      <c r="SZO11" s="6"/>
      <c r="SZP11" s="6"/>
      <c r="SZQ11" s="9"/>
      <c r="SZR11" s="6"/>
      <c r="TAC11" s="6"/>
      <c r="TAD11" s="6"/>
      <c r="TAE11" s="9"/>
      <c r="TAF11" s="6"/>
      <c r="TAQ11" s="6"/>
      <c r="TAR11" s="6"/>
      <c r="TAS11" s="9"/>
      <c r="TAT11" s="6"/>
      <c r="TBE11" s="6"/>
      <c r="TBF11" s="6"/>
      <c r="TBG11" s="9"/>
      <c r="TBH11" s="6"/>
      <c r="TBS11" s="6"/>
      <c r="TBT11" s="6"/>
      <c r="TBU11" s="9"/>
      <c r="TBV11" s="6"/>
      <c r="TCG11" s="6"/>
      <c r="TCH11" s="6"/>
      <c r="TCI11" s="9"/>
      <c r="TCJ11" s="6"/>
      <c r="TCU11" s="6"/>
      <c r="TCV11" s="6"/>
      <c r="TCW11" s="9"/>
      <c r="TCX11" s="6"/>
      <c r="TDI11" s="6"/>
      <c r="TDJ11" s="6"/>
      <c r="TDK11" s="9"/>
      <c r="TDL11" s="6"/>
      <c r="TDW11" s="6"/>
      <c r="TDX11" s="6"/>
      <c r="TDY11" s="9"/>
      <c r="TDZ11" s="6"/>
      <c r="TEK11" s="6"/>
      <c r="TEL11" s="6"/>
      <c r="TEM11" s="9"/>
      <c r="TEN11" s="6"/>
      <c r="TEY11" s="6"/>
      <c r="TEZ11" s="6"/>
      <c r="TFA11" s="9"/>
      <c r="TFB11" s="6"/>
      <c r="TFM11" s="6"/>
      <c r="TFN11" s="6"/>
      <c r="TFO11" s="9"/>
      <c r="TFP11" s="6"/>
      <c r="TGA11" s="6"/>
      <c r="TGB11" s="6"/>
      <c r="TGC11" s="9"/>
      <c r="TGD11" s="6"/>
      <c r="TGO11" s="6"/>
      <c r="TGP11" s="6"/>
      <c r="TGQ11" s="9"/>
      <c r="TGR11" s="6"/>
      <c r="THC11" s="6"/>
      <c r="THD11" s="6"/>
      <c r="THE11" s="9"/>
      <c r="THF11" s="6"/>
      <c r="THQ11" s="6"/>
      <c r="THR11" s="6"/>
      <c r="THS11" s="9"/>
      <c r="THT11" s="6"/>
      <c r="TIE11" s="6"/>
      <c r="TIF11" s="6"/>
      <c r="TIG11" s="9"/>
      <c r="TIH11" s="6"/>
      <c r="TIS11" s="6"/>
      <c r="TIT11" s="6"/>
      <c r="TIU11" s="9"/>
      <c r="TIV11" s="6"/>
      <c r="TJG11" s="6"/>
      <c r="TJH11" s="6"/>
      <c r="TJI11" s="9"/>
      <c r="TJJ11" s="6"/>
      <c r="TJU11" s="6"/>
      <c r="TJV11" s="6"/>
      <c r="TJW11" s="9"/>
      <c r="TJX11" s="6"/>
      <c r="TKI11" s="6"/>
      <c r="TKJ11" s="6"/>
      <c r="TKK11" s="9"/>
      <c r="TKL11" s="6"/>
      <c r="TKW11" s="6"/>
      <c r="TKX11" s="6"/>
      <c r="TKY11" s="9"/>
      <c r="TKZ11" s="6"/>
      <c r="TLK11" s="6"/>
      <c r="TLL11" s="6"/>
      <c r="TLM11" s="9"/>
      <c r="TLN11" s="6"/>
      <c r="TLY11" s="6"/>
      <c r="TLZ11" s="6"/>
      <c r="TMA11" s="9"/>
      <c r="TMB11" s="6"/>
      <c r="TMM11" s="6"/>
      <c r="TMN11" s="6"/>
      <c r="TMO11" s="9"/>
      <c r="TMP11" s="6"/>
      <c r="TNA11" s="6"/>
      <c r="TNB11" s="6"/>
      <c r="TNC11" s="9"/>
      <c r="TND11" s="6"/>
      <c r="TNO11" s="6"/>
      <c r="TNP11" s="6"/>
      <c r="TNQ11" s="9"/>
      <c r="TNR11" s="6"/>
      <c r="TOC11" s="6"/>
      <c r="TOD11" s="6"/>
      <c r="TOE11" s="9"/>
      <c r="TOF11" s="6"/>
      <c r="TOQ11" s="6"/>
      <c r="TOR11" s="6"/>
      <c r="TOS11" s="9"/>
      <c r="TOT11" s="6"/>
      <c r="TPE11" s="6"/>
      <c r="TPF11" s="6"/>
      <c r="TPG11" s="9"/>
      <c r="TPH11" s="6"/>
      <c r="TPS11" s="6"/>
      <c r="TPT11" s="6"/>
      <c r="TPU11" s="9"/>
      <c r="TPV11" s="6"/>
      <c r="TQG11" s="6"/>
      <c r="TQH11" s="6"/>
      <c r="TQI11" s="9"/>
      <c r="TQJ11" s="6"/>
      <c r="TQU11" s="6"/>
      <c r="TQV11" s="6"/>
      <c r="TQW11" s="9"/>
      <c r="TQX11" s="6"/>
      <c r="TRI11" s="6"/>
      <c r="TRJ11" s="6"/>
      <c r="TRK11" s="9"/>
      <c r="TRL11" s="6"/>
      <c r="TRW11" s="6"/>
      <c r="TRX11" s="6"/>
      <c r="TRY11" s="9"/>
      <c r="TRZ11" s="6"/>
      <c r="TSK11" s="6"/>
      <c r="TSL11" s="6"/>
      <c r="TSM11" s="9"/>
      <c r="TSN11" s="6"/>
      <c r="TSY11" s="6"/>
      <c r="TSZ11" s="6"/>
      <c r="TTA11" s="9"/>
      <c r="TTB11" s="6"/>
      <c r="TTM11" s="6"/>
      <c r="TTN11" s="6"/>
      <c r="TTO11" s="9"/>
      <c r="TTP11" s="6"/>
      <c r="TUA11" s="6"/>
      <c r="TUB11" s="6"/>
      <c r="TUC11" s="9"/>
      <c r="TUD11" s="6"/>
      <c r="TUO11" s="6"/>
      <c r="TUP11" s="6"/>
      <c r="TUQ11" s="9"/>
      <c r="TUR11" s="6"/>
      <c r="TVC11" s="6"/>
      <c r="TVD11" s="6"/>
      <c r="TVE11" s="9"/>
      <c r="TVF11" s="6"/>
      <c r="TVQ11" s="6"/>
      <c r="TVR11" s="6"/>
      <c r="TVS11" s="9"/>
      <c r="TVT11" s="6"/>
      <c r="TWE11" s="6"/>
      <c r="TWF11" s="6"/>
      <c r="TWG11" s="9"/>
      <c r="TWH11" s="6"/>
      <c r="TWS11" s="6"/>
      <c r="TWT11" s="6"/>
      <c r="TWU11" s="9"/>
      <c r="TWV11" s="6"/>
      <c r="TXG11" s="6"/>
      <c r="TXH11" s="6"/>
      <c r="TXI11" s="9"/>
      <c r="TXJ11" s="6"/>
      <c r="TXU11" s="6"/>
      <c r="TXV11" s="6"/>
      <c r="TXW11" s="9"/>
      <c r="TXX11" s="6"/>
      <c r="TYI11" s="6"/>
      <c r="TYJ11" s="6"/>
      <c r="TYK11" s="9"/>
      <c r="TYL11" s="6"/>
      <c r="TYW11" s="6"/>
      <c r="TYX11" s="6"/>
      <c r="TYY11" s="9"/>
      <c r="TYZ11" s="6"/>
      <c r="TZK11" s="6"/>
      <c r="TZL11" s="6"/>
      <c r="TZM11" s="9"/>
      <c r="TZN11" s="6"/>
      <c r="TZY11" s="6"/>
      <c r="TZZ11" s="6"/>
      <c r="UAA11" s="9"/>
      <c r="UAB11" s="6"/>
      <c r="UAM11" s="6"/>
      <c r="UAN11" s="6"/>
      <c r="UAO11" s="9"/>
      <c r="UAP11" s="6"/>
      <c r="UBA11" s="6"/>
      <c r="UBB11" s="6"/>
      <c r="UBC11" s="9"/>
      <c r="UBD11" s="6"/>
      <c r="UBO11" s="6"/>
      <c r="UBP11" s="6"/>
      <c r="UBQ11" s="9"/>
      <c r="UBR11" s="6"/>
      <c r="UCC11" s="6"/>
      <c r="UCD11" s="6"/>
      <c r="UCE11" s="9"/>
      <c r="UCF11" s="6"/>
      <c r="UCQ11" s="6"/>
      <c r="UCR11" s="6"/>
      <c r="UCS11" s="9"/>
      <c r="UCT11" s="6"/>
      <c r="UDE11" s="6"/>
      <c r="UDF11" s="6"/>
      <c r="UDG11" s="9"/>
      <c r="UDH11" s="6"/>
      <c r="UDS11" s="6"/>
      <c r="UDT11" s="6"/>
      <c r="UDU11" s="9"/>
      <c r="UDV11" s="6"/>
      <c r="UEG11" s="6"/>
      <c r="UEH11" s="6"/>
      <c r="UEI11" s="9"/>
      <c r="UEJ11" s="6"/>
      <c r="UEU11" s="6"/>
      <c r="UEV11" s="6"/>
      <c r="UEW11" s="9"/>
      <c r="UEX11" s="6"/>
      <c r="UFI11" s="6"/>
      <c r="UFJ11" s="6"/>
      <c r="UFK11" s="9"/>
      <c r="UFL11" s="6"/>
      <c r="UFW11" s="6"/>
      <c r="UFX11" s="6"/>
      <c r="UFY11" s="9"/>
      <c r="UFZ11" s="6"/>
      <c r="UGK11" s="6"/>
      <c r="UGL11" s="6"/>
      <c r="UGM11" s="9"/>
      <c r="UGN11" s="6"/>
      <c r="UGY11" s="6"/>
      <c r="UGZ11" s="6"/>
      <c r="UHA11" s="9"/>
      <c r="UHB11" s="6"/>
      <c r="UHM11" s="6"/>
      <c r="UHN11" s="6"/>
      <c r="UHO11" s="9"/>
      <c r="UHP11" s="6"/>
      <c r="UIA11" s="6"/>
      <c r="UIB11" s="6"/>
      <c r="UIC11" s="9"/>
      <c r="UID11" s="6"/>
      <c r="UIO11" s="6"/>
      <c r="UIP11" s="6"/>
      <c r="UIQ11" s="9"/>
      <c r="UIR11" s="6"/>
      <c r="UJC11" s="6"/>
      <c r="UJD11" s="6"/>
      <c r="UJE11" s="9"/>
      <c r="UJF11" s="6"/>
      <c r="UJQ11" s="6"/>
      <c r="UJR11" s="6"/>
      <c r="UJS11" s="9"/>
      <c r="UJT11" s="6"/>
      <c r="UKE11" s="6"/>
      <c r="UKF11" s="6"/>
      <c r="UKG11" s="9"/>
      <c r="UKH11" s="6"/>
      <c r="UKS11" s="6"/>
      <c r="UKT11" s="6"/>
      <c r="UKU11" s="9"/>
      <c r="UKV11" s="6"/>
      <c r="ULG11" s="6"/>
      <c r="ULH11" s="6"/>
      <c r="ULI11" s="9"/>
      <c r="ULJ11" s="6"/>
      <c r="ULU11" s="6"/>
      <c r="ULV11" s="6"/>
      <c r="ULW11" s="9"/>
      <c r="ULX11" s="6"/>
      <c r="UMI11" s="6"/>
      <c r="UMJ11" s="6"/>
      <c r="UMK11" s="9"/>
      <c r="UML11" s="6"/>
      <c r="UMW11" s="6"/>
      <c r="UMX11" s="6"/>
      <c r="UMY11" s="9"/>
      <c r="UMZ11" s="6"/>
      <c r="UNK11" s="6"/>
      <c r="UNL11" s="6"/>
      <c r="UNM11" s="9"/>
      <c r="UNN11" s="6"/>
      <c r="UNY11" s="6"/>
      <c r="UNZ11" s="6"/>
      <c r="UOA11" s="9"/>
      <c r="UOB11" s="6"/>
      <c r="UOM11" s="6"/>
      <c r="UON11" s="6"/>
      <c r="UOO11" s="9"/>
      <c r="UOP11" s="6"/>
      <c r="UPA11" s="6"/>
      <c r="UPB11" s="6"/>
      <c r="UPC11" s="9"/>
      <c r="UPD11" s="6"/>
      <c r="UPO11" s="6"/>
      <c r="UPP11" s="6"/>
      <c r="UPQ11" s="9"/>
      <c r="UPR11" s="6"/>
      <c r="UQC11" s="6"/>
      <c r="UQD11" s="6"/>
      <c r="UQE11" s="9"/>
      <c r="UQF11" s="6"/>
      <c r="UQQ11" s="6"/>
      <c r="UQR11" s="6"/>
      <c r="UQS11" s="9"/>
      <c r="UQT11" s="6"/>
      <c r="URE11" s="6"/>
      <c r="URF11" s="6"/>
      <c r="URG11" s="9"/>
      <c r="URH11" s="6"/>
      <c r="URS11" s="6"/>
      <c r="URT11" s="6"/>
      <c r="URU11" s="9"/>
      <c r="URV11" s="6"/>
      <c r="USG11" s="6"/>
      <c r="USH11" s="6"/>
      <c r="USI11" s="9"/>
      <c r="USJ11" s="6"/>
      <c r="USU11" s="6"/>
      <c r="USV11" s="6"/>
      <c r="USW11" s="9"/>
      <c r="USX11" s="6"/>
      <c r="UTI11" s="6"/>
      <c r="UTJ11" s="6"/>
      <c r="UTK11" s="9"/>
      <c r="UTL11" s="6"/>
      <c r="UTW11" s="6"/>
      <c r="UTX11" s="6"/>
      <c r="UTY11" s="9"/>
      <c r="UTZ11" s="6"/>
      <c r="UUK11" s="6"/>
      <c r="UUL11" s="6"/>
      <c r="UUM11" s="9"/>
      <c r="UUN11" s="6"/>
      <c r="UUY11" s="6"/>
      <c r="UUZ11" s="6"/>
      <c r="UVA11" s="9"/>
      <c r="UVB11" s="6"/>
      <c r="UVM11" s="6"/>
      <c r="UVN11" s="6"/>
      <c r="UVO11" s="9"/>
      <c r="UVP11" s="6"/>
      <c r="UWA11" s="6"/>
      <c r="UWB11" s="6"/>
      <c r="UWC11" s="9"/>
      <c r="UWD11" s="6"/>
      <c r="UWO11" s="6"/>
      <c r="UWP11" s="6"/>
      <c r="UWQ11" s="9"/>
      <c r="UWR11" s="6"/>
      <c r="UXC11" s="6"/>
      <c r="UXD11" s="6"/>
      <c r="UXE11" s="9"/>
      <c r="UXF11" s="6"/>
      <c r="UXQ11" s="6"/>
      <c r="UXR11" s="6"/>
      <c r="UXS11" s="9"/>
      <c r="UXT11" s="6"/>
      <c r="UYE11" s="6"/>
      <c r="UYF11" s="6"/>
      <c r="UYG11" s="9"/>
      <c r="UYH11" s="6"/>
      <c r="UYS11" s="6"/>
      <c r="UYT11" s="6"/>
      <c r="UYU11" s="9"/>
      <c r="UYV11" s="6"/>
      <c r="UZG11" s="6"/>
      <c r="UZH11" s="6"/>
      <c r="UZI11" s="9"/>
      <c r="UZJ11" s="6"/>
      <c r="UZU11" s="6"/>
      <c r="UZV11" s="6"/>
      <c r="UZW11" s="9"/>
      <c r="UZX11" s="6"/>
      <c r="VAI11" s="6"/>
      <c r="VAJ11" s="6"/>
      <c r="VAK11" s="9"/>
      <c r="VAL11" s="6"/>
      <c r="VAW11" s="6"/>
      <c r="VAX11" s="6"/>
      <c r="VAY11" s="9"/>
      <c r="VAZ11" s="6"/>
      <c r="VBK11" s="6"/>
      <c r="VBL11" s="6"/>
      <c r="VBM11" s="9"/>
      <c r="VBN11" s="6"/>
      <c r="VBY11" s="6"/>
      <c r="VBZ11" s="6"/>
      <c r="VCA11" s="9"/>
      <c r="VCB11" s="6"/>
      <c r="VCM11" s="6"/>
      <c r="VCN11" s="6"/>
      <c r="VCO11" s="9"/>
      <c r="VCP11" s="6"/>
      <c r="VDA11" s="6"/>
      <c r="VDB11" s="6"/>
      <c r="VDC11" s="9"/>
      <c r="VDD11" s="6"/>
      <c r="VDO11" s="6"/>
      <c r="VDP11" s="6"/>
      <c r="VDQ11" s="9"/>
      <c r="VDR11" s="6"/>
      <c r="VEC11" s="6"/>
      <c r="VED11" s="6"/>
      <c r="VEE11" s="9"/>
      <c r="VEF11" s="6"/>
      <c r="VEQ11" s="6"/>
      <c r="VER11" s="6"/>
      <c r="VES11" s="9"/>
      <c r="VET11" s="6"/>
      <c r="VFE11" s="6"/>
      <c r="VFF11" s="6"/>
      <c r="VFG11" s="9"/>
      <c r="VFH11" s="6"/>
      <c r="VFS11" s="6"/>
      <c r="VFT11" s="6"/>
      <c r="VFU11" s="9"/>
      <c r="VFV11" s="6"/>
      <c r="VGG11" s="6"/>
      <c r="VGH11" s="6"/>
      <c r="VGI11" s="9"/>
      <c r="VGJ11" s="6"/>
      <c r="VGU11" s="6"/>
      <c r="VGV11" s="6"/>
      <c r="VGW11" s="9"/>
      <c r="VGX11" s="6"/>
      <c r="VHI11" s="6"/>
      <c r="VHJ11" s="6"/>
      <c r="VHK11" s="9"/>
      <c r="VHL11" s="6"/>
      <c r="VHW11" s="6"/>
      <c r="VHX11" s="6"/>
      <c r="VHY11" s="9"/>
      <c r="VHZ11" s="6"/>
      <c r="VIK11" s="6"/>
      <c r="VIL11" s="6"/>
      <c r="VIM11" s="9"/>
      <c r="VIN11" s="6"/>
      <c r="VIY11" s="6"/>
      <c r="VIZ11" s="6"/>
      <c r="VJA11" s="9"/>
      <c r="VJB11" s="6"/>
      <c r="VJM11" s="6"/>
      <c r="VJN11" s="6"/>
      <c r="VJO11" s="9"/>
      <c r="VJP11" s="6"/>
      <c r="VKA11" s="6"/>
      <c r="VKB11" s="6"/>
      <c r="VKC11" s="9"/>
      <c r="VKD11" s="6"/>
      <c r="VKO11" s="6"/>
      <c r="VKP11" s="6"/>
      <c r="VKQ11" s="9"/>
      <c r="VKR11" s="6"/>
      <c r="VLC11" s="6"/>
      <c r="VLD11" s="6"/>
      <c r="VLE11" s="9"/>
      <c r="VLF11" s="6"/>
      <c r="VLQ11" s="6"/>
      <c r="VLR11" s="6"/>
      <c r="VLS11" s="9"/>
      <c r="VLT11" s="6"/>
      <c r="VME11" s="6"/>
      <c r="VMF11" s="6"/>
      <c r="VMG11" s="9"/>
      <c r="VMH11" s="6"/>
      <c r="VMS11" s="6"/>
      <c r="VMT11" s="6"/>
      <c r="VMU11" s="9"/>
      <c r="VMV11" s="6"/>
      <c r="VNG11" s="6"/>
      <c r="VNH11" s="6"/>
      <c r="VNI11" s="9"/>
      <c r="VNJ11" s="6"/>
      <c r="VNU11" s="6"/>
      <c r="VNV11" s="6"/>
      <c r="VNW11" s="9"/>
      <c r="VNX11" s="6"/>
      <c r="VOI11" s="6"/>
      <c r="VOJ11" s="6"/>
      <c r="VOK11" s="9"/>
      <c r="VOL11" s="6"/>
      <c r="VOW11" s="6"/>
      <c r="VOX11" s="6"/>
      <c r="VOY11" s="9"/>
      <c r="VOZ11" s="6"/>
      <c r="VPK11" s="6"/>
      <c r="VPL11" s="6"/>
      <c r="VPM11" s="9"/>
      <c r="VPN11" s="6"/>
      <c r="VPY11" s="6"/>
      <c r="VPZ11" s="6"/>
      <c r="VQA11" s="9"/>
      <c r="VQB11" s="6"/>
      <c r="VQM11" s="6"/>
      <c r="VQN11" s="6"/>
      <c r="VQO11" s="9"/>
      <c r="VQP11" s="6"/>
      <c r="VRA11" s="6"/>
      <c r="VRB11" s="6"/>
      <c r="VRC11" s="9"/>
      <c r="VRD11" s="6"/>
      <c r="VRO11" s="6"/>
      <c r="VRP11" s="6"/>
      <c r="VRQ11" s="9"/>
      <c r="VRR11" s="6"/>
      <c r="VSC11" s="6"/>
      <c r="VSD11" s="6"/>
      <c r="VSE11" s="9"/>
      <c r="VSF11" s="6"/>
      <c r="VSQ11" s="6"/>
      <c r="VSR11" s="6"/>
      <c r="VSS11" s="9"/>
      <c r="VST11" s="6"/>
      <c r="VTE11" s="6"/>
      <c r="VTF11" s="6"/>
      <c r="VTG11" s="9"/>
      <c r="VTH11" s="6"/>
      <c r="VTS11" s="6"/>
      <c r="VTT11" s="6"/>
      <c r="VTU11" s="9"/>
      <c r="VTV11" s="6"/>
      <c r="VUG11" s="6"/>
      <c r="VUH11" s="6"/>
      <c r="VUI11" s="9"/>
      <c r="VUJ11" s="6"/>
      <c r="VUU11" s="6"/>
      <c r="VUV11" s="6"/>
      <c r="VUW11" s="9"/>
      <c r="VUX11" s="6"/>
      <c r="VVI11" s="6"/>
      <c r="VVJ11" s="6"/>
      <c r="VVK11" s="9"/>
      <c r="VVL11" s="6"/>
      <c r="VVW11" s="6"/>
      <c r="VVX11" s="6"/>
      <c r="VVY11" s="9"/>
      <c r="VVZ11" s="6"/>
      <c r="VWK11" s="6"/>
      <c r="VWL11" s="6"/>
      <c r="VWM11" s="9"/>
      <c r="VWN11" s="6"/>
      <c r="VWY11" s="6"/>
      <c r="VWZ11" s="6"/>
      <c r="VXA11" s="9"/>
      <c r="VXB11" s="6"/>
      <c r="VXM11" s="6"/>
      <c r="VXN11" s="6"/>
      <c r="VXO11" s="9"/>
      <c r="VXP11" s="6"/>
      <c r="VYA11" s="6"/>
      <c r="VYB11" s="6"/>
      <c r="VYC11" s="9"/>
      <c r="VYD11" s="6"/>
      <c r="VYO11" s="6"/>
      <c r="VYP11" s="6"/>
      <c r="VYQ11" s="9"/>
      <c r="VYR11" s="6"/>
      <c r="VZC11" s="6"/>
      <c r="VZD11" s="6"/>
      <c r="VZE11" s="9"/>
      <c r="VZF11" s="6"/>
      <c r="VZQ11" s="6"/>
      <c r="VZR11" s="6"/>
      <c r="VZS11" s="9"/>
      <c r="VZT11" s="6"/>
      <c r="WAE11" s="6"/>
      <c r="WAF11" s="6"/>
      <c r="WAG11" s="9"/>
      <c r="WAH11" s="6"/>
      <c r="WAS11" s="6"/>
      <c r="WAT11" s="6"/>
      <c r="WAU11" s="9"/>
      <c r="WAV11" s="6"/>
      <c r="WBG11" s="6"/>
      <c r="WBH11" s="6"/>
      <c r="WBI11" s="9"/>
      <c r="WBJ11" s="6"/>
      <c r="WBU11" s="6"/>
      <c r="WBV11" s="6"/>
      <c r="WBW11" s="9"/>
      <c r="WBX11" s="6"/>
      <c r="WCI11" s="6"/>
      <c r="WCJ11" s="6"/>
      <c r="WCK11" s="9"/>
      <c r="WCL11" s="6"/>
      <c r="WCW11" s="6"/>
      <c r="WCX11" s="6"/>
      <c r="WCY11" s="9"/>
      <c r="WCZ11" s="6"/>
      <c r="WDK11" s="6"/>
      <c r="WDL11" s="6"/>
      <c r="WDM11" s="9"/>
      <c r="WDN11" s="6"/>
      <c r="WDY11" s="6"/>
      <c r="WDZ11" s="6"/>
      <c r="WEA11" s="9"/>
      <c r="WEB11" s="6"/>
      <c r="WEM11" s="6"/>
      <c r="WEN11" s="6"/>
      <c r="WEO11" s="9"/>
      <c r="WEP11" s="6"/>
      <c r="WFA11" s="6"/>
      <c r="WFB11" s="6"/>
      <c r="WFC11" s="9"/>
      <c r="WFD11" s="6"/>
      <c r="WFO11" s="6"/>
      <c r="WFP11" s="6"/>
      <c r="WFQ11" s="9"/>
      <c r="WFR11" s="6"/>
      <c r="WGC11" s="6"/>
      <c r="WGD11" s="6"/>
      <c r="WGE11" s="9"/>
      <c r="WGF11" s="6"/>
      <c r="WGQ11" s="6"/>
      <c r="WGR11" s="6"/>
      <c r="WGS11" s="9"/>
      <c r="WGT11" s="6"/>
      <c r="WHE11" s="6"/>
      <c r="WHF11" s="6"/>
      <c r="WHG11" s="9"/>
      <c r="WHH11" s="6"/>
      <c r="WHS11" s="6"/>
      <c r="WHT11" s="6"/>
      <c r="WHU11" s="9"/>
      <c r="WHV11" s="6"/>
      <c r="WIG11" s="6"/>
      <c r="WIH11" s="6"/>
      <c r="WII11" s="9"/>
      <c r="WIJ11" s="6"/>
      <c r="WIU11" s="6"/>
      <c r="WIV11" s="6"/>
      <c r="WIW11" s="9"/>
      <c r="WIX11" s="6"/>
      <c r="WJI11" s="6"/>
      <c r="WJJ11" s="6"/>
      <c r="WJK11" s="9"/>
      <c r="WJL11" s="6"/>
      <c r="WJW11" s="6"/>
      <c r="WJX11" s="6"/>
      <c r="WJY11" s="9"/>
      <c r="WJZ11" s="6"/>
      <c r="WKK11" s="6"/>
      <c r="WKL11" s="6"/>
      <c r="WKM11" s="9"/>
      <c r="WKN11" s="6"/>
      <c r="WKY11" s="6"/>
      <c r="WKZ11" s="6"/>
      <c r="WLA11" s="9"/>
      <c r="WLB11" s="6"/>
      <c r="WLM11" s="6"/>
      <c r="WLN11" s="6"/>
      <c r="WLO11" s="9"/>
      <c r="WLP11" s="6"/>
      <c r="WMA11" s="6"/>
      <c r="WMB11" s="6"/>
      <c r="WMC11" s="9"/>
      <c r="WMD11" s="6"/>
      <c r="WMO11" s="6"/>
      <c r="WMP11" s="6"/>
      <c r="WMQ11" s="9"/>
      <c r="WMR11" s="6"/>
      <c r="WNC11" s="6"/>
      <c r="WND11" s="6"/>
      <c r="WNE11" s="9"/>
      <c r="WNF11" s="6"/>
      <c r="WNQ11" s="6"/>
      <c r="WNR11" s="6"/>
      <c r="WNS11" s="9"/>
      <c r="WNT11" s="6"/>
      <c r="WOE11" s="6"/>
      <c r="WOF11" s="6"/>
      <c r="WOG11" s="9"/>
      <c r="WOH11" s="6"/>
      <c r="WOS11" s="6"/>
      <c r="WOT11" s="6"/>
      <c r="WOU11" s="9"/>
      <c r="WOV11" s="6"/>
      <c r="WPG11" s="6"/>
      <c r="WPH11" s="6"/>
      <c r="WPI11" s="9"/>
      <c r="WPJ11" s="6"/>
      <c r="WPU11" s="6"/>
      <c r="WPV11" s="6"/>
      <c r="WPW11" s="9"/>
      <c r="WPX11" s="6"/>
      <c r="WQI11" s="6"/>
      <c r="WQJ11" s="6"/>
      <c r="WQK11" s="9"/>
      <c r="WQL11" s="6"/>
      <c r="WQW11" s="6"/>
      <c r="WQX11" s="6"/>
      <c r="WQY11" s="9"/>
      <c r="WQZ11" s="6"/>
      <c r="WRK11" s="6"/>
      <c r="WRL11" s="6"/>
      <c r="WRM11" s="9"/>
      <c r="WRN11" s="6"/>
      <c r="WRY11" s="6"/>
      <c r="WRZ11" s="6"/>
      <c r="WSA11" s="9"/>
      <c r="WSB11" s="6"/>
      <c r="WSM11" s="6"/>
      <c r="WSN11" s="6"/>
      <c r="WSO11" s="9"/>
      <c r="WSP11" s="6"/>
      <c r="WTA11" s="6"/>
      <c r="WTB11" s="6"/>
      <c r="WTC11" s="9"/>
      <c r="WTD11" s="6"/>
      <c r="WTO11" s="6"/>
      <c r="WTP11" s="6"/>
      <c r="WTQ11" s="9"/>
      <c r="WTR11" s="6"/>
      <c r="WUC11" s="6"/>
      <c r="WUD11" s="6"/>
      <c r="WUE11" s="9"/>
      <c r="WUF11" s="6"/>
      <c r="WUQ11" s="6"/>
      <c r="WUR11" s="6"/>
      <c r="WUS11" s="9"/>
      <c r="WUT11" s="6"/>
      <c r="WVE11" s="6"/>
      <c r="WVF11" s="6"/>
      <c r="WVG11" s="9"/>
      <c r="WVH11" s="6"/>
      <c r="WVS11" s="6"/>
      <c r="WVT11" s="6"/>
      <c r="WVU11" s="9"/>
      <c r="WVV11" s="6"/>
      <c r="WWG11" s="6"/>
      <c r="WWH11" s="6"/>
      <c r="WWI11" s="9"/>
      <c r="WWJ11" s="6"/>
      <c r="WWU11" s="6"/>
      <c r="WWV11" s="6"/>
      <c r="WWW11" s="9"/>
      <c r="WWX11" s="6"/>
      <c r="WXI11" s="6"/>
      <c r="WXJ11" s="6"/>
      <c r="WXK11" s="9"/>
      <c r="WXL11" s="6"/>
      <c r="WXW11" s="6"/>
      <c r="WXX11" s="6"/>
      <c r="WXY11" s="9"/>
      <c r="WXZ11" s="6"/>
      <c r="WYK11" s="6"/>
      <c r="WYL11" s="6"/>
      <c r="WYM11" s="9"/>
      <c r="WYN11" s="6"/>
      <c r="WYY11" s="6"/>
      <c r="WYZ11" s="6"/>
      <c r="WZA11" s="9"/>
      <c r="WZB11" s="6"/>
      <c r="WZM11" s="6"/>
      <c r="WZN11" s="6"/>
      <c r="WZO11" s="9"/>
      <c r="WZP11" s="6"/>
      <c r="XAA11" s="6"/>
      <c r="XAB11" s="6"/>
      <c r="XAC11" s="9"/>
      <c r="XAD11" s="6"/>
      <c r="XAO11" s="6"/>
      <c r="XAP11" s="6"/>
      <c r="XAQ11" s="9"/>
      <c r="XAR11" s="6"/>
      <c r="XBC11" s="6"/>
      <c r="XBD11" s="6"/>
      <c r="XBE11" s="9"/>
      <c r="XBF11" s="6"/>
      <c r="XBQ11" s="6"/>
      <c r="XBR11" s="6"/>
      <c r="XBS11" s="9"/>
      <c r="XBT11" s="6"/>
      <c r="XCE11" s="6"/>
      <c r="XCF11" s="6"/>
      <c r="XCG11" s="9"/>
      <c r="XCH11" s="6"/>
      <c r="XCS11" s="6"/>
      <c r="XCT11" s="6"/>
      <c r="XCU11" s="9"/>
      <c r="XCV11" s="6"/>
      <c r="XDG11" s="6"/>
      <c r="XDH11" s="6"/>
      <c r="XDI11" s="9"/>
      <c r="XDJ11" s="6"/>
      <c r="XDU11" s="6"/>
      <c r="XDV11" s="6"/>
      <c r="XDW11" s="9"/>
      <c r="XDX11" s="6"/>
      <c r="XEI11" s="6"/>
      <c r="XEJ11" s="6"/>
      <c r="XEK11" s="9"/>
      <c r="XEL11" s="6"/>
      <c r="XEW11" s="6"/>
      <c r="XEX11" s="6"/>
      <c r="XEY11" s="9"/>
      <c r="XEZ11" s="6"/>
    </row>
    <row r="12" customFormat="false" ht="22.05" hidden="false" customHeight="false" outlineLevel="0" collapsed="false">
      <c r="A12" s="2" t="s">
        <v>26</v>
      </c>
      <c r="B12" s="2"/>
      <c r="C12" s="2"/>
      <c r="D12" s="2"/>
    </row>
    <row r="13" customFormat="false" ht="22.05" hidden="false" customHeight="false" outlineLevel="0" collapsed="false">
      <c r="B13" s="1" t="s">
        <v>1</v>
      </c>
      <c r="C13" s="1" t="s">
        <v>2</v>
      </c>
      <c r="D13" s="1" t="s">
        <v>3</v>
      </c>
      <c r="E13" s="10" t="s">
        <v>16</v>
      </c>
      <c r="F13" s="10" t="s">
        <v>17</v>
      </c>
      <c r="G13" s="4" t="s">
        <v>18</v>
      </c>
      <c r="H13" s="4" t="s">
        <v>19</v>
      </c>
    </row>
    <row r="14" customFormat="false" ht="22.05" hidden="false" customHeight="false" outlineLevel="0" collapsed="false">
      <c r="A14" s="1" t="s">
        <v>20</v>
      </c>
      <c r="B14" s="1" t="n">
        <v>38</v>
      </c>
      <c r="C14" s="5" t="n">
        <v>25</v>
      </c>
      <c r="D14" s="1" t="n">
        <v>35</v>
      </c>
      <c r="E14" s="1" t="n">
        <f aca="false">AVERAGE(B14:D14)</f>
        <v>32.6666666666667</v>
      </c>
      <c r="F14" s="11" t="n">
        <f aca="false">STDEV(B14:D14)/SQRT(3)</f>
        <v>3.92994204085053</v>
      </c>
      <c r="G14" s="7" t="n">
        <f aca="false">E14/$E$14</f>
        <v>1</v>
      </c>
      <c r="H14" s="7" t="n">
        <f aca="false">F14/$E$14</f>
        <v>0.120304348189302</v>
      </c>
    </row>
    <row r="15" customFormat="false" ht="22.05" hidden="false" customHeight="false" outlineLevel="0" collapsed="false">
      <c r="A15" s="1" t="s">
        <v>21</v>
      </c>
      <c r="B15" s="1" t="n">
        <v>36</v>
      </c>
      <c r="C15" s="5" t="n">
        <v>24</v>
      </c>
      <c r="D15" s="1" t="n">
        <v>32</v>
      </c>
      <c r="E15" s="1" t="n">
        <f aca="false">AVERAGE(B15:D15)</f>
        <v>30.6666666666667</v>
      </c>
      <c r="F15" s="11" t="n">
        <f aca="false">STDEV(B15:D15)/SQRT(3)</f>
        <v>3.52766841475279</v>
      </c>
      <c r="G15" s="7" t="n">
        <f aca="false">E15/$E$14</f>
        <v>0.938775510204082</v>
      </c>
      <c r="H15" s="7" t="n">
        <f aca="false">F15/$E$14</f>
        <v>0.107989849431208</v>
      </c>
    </row>
    <row r="16" customFormat="false" ht="22.05" hidden="false" customHeight="false" outlineLevel="0" collapsed="false">
      <c r="A16" s="1" t="s">
        <v>22</v>
      </c>
      <c r="B16" s="1" t="n">
        <v>32</v>
      </c>
      <c r="C16" s="5" t="n">
        <v>23</v>
      </c>
      <c r="D16" s="1" t="n">
        <v>42</v>
      </c>
      <c r="E16" s="1" t="n">
        <f aca="false">AVERAGE(B16:D16)</f>
        <v>32.3333333333333</v>
      </c>
      <c r="F16" s="11" t="n">
        <f aca="false">STDEV(B16:D16)/SQRT(3)</f>
        <v>5.48735921105144</v>
      </c>
      <c r="G16" s="7" t="n">
        <f aca="false">E16/$E$14</f>
        <v>0.989795918367347</v>
      </c>
      <c r="H16" s="7" t="n">
        <f aca="false">F16/$E$14</f>
        <v>0.167980384011779</v>
      </c>
    </row>
    <row r="17" customFormat="false" ht="22.05" hidden="false" customHeight="false" outlineLevel="0" collapsed="false">
      <c r="A17" s="1" t="s">
        <v>23</v>
      </c>
      <c r="B17" s="1" t="n">
        <v>43</v>
      </c>
      <c r="C17" s="5" t="n">
        <v>26</v>
      </c>
      <c r="D17" s="1" t="n">
        <v>32</v>
      </c>
      <c r="E17" s="1" t="n">
        <f aca="false">AVERAGE(B17:D17)</f>
        <v>33.6666666666667</v>
      </c>
      <c r="F17" s="11" t="n">
        <f aca="false">STDEV(B17:D17)/SQRT(3)</f>
        <v>4.97772817435603</v>
      </c>
      <c r="G17" s="7" t="n">
        <f aca="false">E17/$E$14</f>
        <v>1.03061224489796</v>
      </c>
      <c r="H17" s="7" t="n">
        <f aca="false">F17/$E$14</f>
        <v>0.152379433908858</v>
      </c>
    </row>
    <row r="18" customFormat="false" ht="22.05" hidden="false" customHeight="false" outlineLevel="0" collapsed="false">
      <c r="A18" s="1" t="s">
        <v>24</v>
      </c>
      <c r="B18" s="1" t="n">
        <v>35</v>
      </c>
      <c r="C18" s="5" t="n">
        <v>26</v>
      </c>
      <c r="D18" s="1" t="n">
        <v>36</v>
      </c>
      <c r="E18" s="1" t="n">
        <f aca="false">AVERAGE(B18:D18)</f>
        <v>32.3333333333333</v>
      </c>
      <c r="F18" s="11" t="n">
        <f aca="false">STDEV(B18:D18)/SQRT(3)</f>
        <v>3.17979733805649</v>
      </c>
      <c r="G18" s="7" t="n">
        <f aca="false">E18/$E$14</f>
        <v>0.989795918367347</v>
      </c>
      <c r="H18" s="7" t="n">
        <f aca="false">F18/$E$14</f>
        <v>0.0973407348384639</v>
      </c>
    </row>
    <row r="19" customFormat="false" ht="22.05" hidden="false" customHeight="false" outlineLevel="0" collapsed="false">
      <c r="A19" s="1" t="s">
        <v>25</v>
      </c>
      <c r="B19" s="1" t="n">
        <v>36</v>
      </c>
      <c r="C19" s="12"/>
      <c r="D19" s="1" t="n">
        <v>33</v>
      </c>
      <c r="E19" s="1" t="n">
        <f aca="false">AVERAGE(B19:D19)</f>
        <v>34.5</v>
      </c>
      <c r="F19" s="11" t="n">
        <f aca="false">STDEV(B19:D19)/SQRT(3)</f>
        <v>1.22474487139159</v>
      </c>
      <c r="G19" s="7" t="n">
        <f aca="false">E19/$E$14</f>
        <v>1.05612244897959</v>
      </c>
      <c r="H19" s="7" t="n">
        <f aca="false">F19/$E$14</f>
        <v>0.0374921899405589</v>
      </c>
    </row>
    <row r="21" customFormat="false" ht="22.05" hidden="false" customHeight="false" outlineLevel="0" collapsed="false">
      <c r="A21" s="2" t="s">
        <v>27</v>
      </c>
      <c r="B21" s="2"/>
      <c r="C21" s="2"/>
      <c r="D21" s="2"/>
      <c r="E21" s="2"/>
      <c r="F21" s="2"/>
    </row>
    <row r="22" customFormat="false" ht="22.05" hidden="false" customHeight="false" outlineLevel="0" collapsed="false">
      <c r="B22" s="1" t="s">
        <v>1</v>
      </c>
      <c r="C22" s="1" t="s">
        <v>2</v>
      </c>
      <c r="D22" s="1" t="s">
        <v>3</v>
      </c>
      <c r="E22" s="1" t="s">
        <v>4</v>
      </c>
      <c r="F22" s="10" t="s">
        <v>16</v>
      </c>
      <c r="G22" s="10" t="s">
        <v>17</v>
      </c>
      <c r="H22" s="4" t="s">
        <v>18</v>
      </c>
      <c r="I22" s="4" t="s">
        <v>19</v>
      </c>
    </row>
    <row r="23" customFormat="false" ht="22.05" hidden="false" customHeight="false" outlineLevel="0" collapsed="false">
      <c r="A23" s="1" t="s">
        <v>20</v>
      </c>
      <c r="B23" s="1" t="n">
        <v>34</v>
      </c>
      <c r="C23" s="1" t="n">
        <v>43</v>
      </c>
      <c r="D23" s="1" t="n">
        <v>40</v>
      </c>
      <c r="E23" s="1" t="n">
        <v>55</v>
      </c>
      <c r="F23" s="11" t="n">
        <f aca="false">AVERAGE(B23:E23)</f>
        <v>43</v>
      </c>
      <c r="G23" s="11" t="n">
        <f aca="false">STDEV(B23:E23)/SQRT(4)</f>
        <v>4.41588043316392</v>
      </c>
      <c r="H23" s="7" t="n">
        <f aca="false">F23/$F$23</f>
        <v>1</v>
      </c>
      <c r="I23" s="7" t="n">
        <f aca="false">G23/$F$23</f>
        <v>0.10269489379451</v>
      </c>
    </row>
    <row r="24" customFormat="false" ht="22.05" hidden="false" customHeight="false" outlineLevel="0" collapsed="false">
      <c r="A24" s="1" t="s">
        <v>21</v>
      </c>
      <c r="B24" s="1" t="n">
        <v>33</v>
      </c>
      <c r="C24" s="1" t="n">
        <v>33</v>
      </c>
      <c r="D24" s="1" t="n">
        <v>39</v>
      </c>
      <c r="E24" s="1" t="n">
        <v>53</v>
      </c>
      <c r="F24" s="11" t="n">
        <f aca="false">AVERAGE(B24:E24)</f>
        <v>39.5</v>
      </c>
      <c r="G24" s="11" t="n">
        <f aca="false">STDEV(B24:E24)/SQRT(4)</f>
        <v>4.7169905660283</v>
      </c>
      <c r="H24" s="7" t="n">
        <f aca="false">F24/$F$23</f>
        <v>0.918604651162791</v>
      </c>
      <c r="I24" s="7" t="n">
        <f aca="false">G24/$F$23</f>
        <v>0.109697455023914</v>
      </c>
    </row>
    <row r="25" customFormat="false" ht="22.05" hidden="false" customHeight="false" outlineLevel="0" collapsed="false">
      <c r="A25" s="1" t="s">
        <v>22</v>
      </c>
      <c r="B25" s="1" t="n">
        <v>45</v>
      </c>
      <c r="C25" s="1" t="n">
        <v>28</v>
      </c>
      <c r="D25" s="1" t="n">
        <v>41</v>
      </c>
      <c r="E25" s="1" t="n">
        <v>43</v>
      </c>
      <c r="F25" s="11" t="n">
        <f aca="false">AVERAGE(B25:E25)</f>
        <v>39.25</v>
      </c>
      <c r="G25" s="11" t="n">
        <f aca="false">STDEV(B25:E25)/SQRT(4)</f>
        <v>3.83785964655648</v>
      </c>
      <c r="H25" s="7" t="n">
        <f aca="false">F25/$F$23</f>
        <v>0.912790697674419</v>
      </c>
      <c r="I25" s="7" t="n">
        <f aca="false">G25/$F$23</f>
        <v>0.0892525499199183</v>
      </c>
    </row>
    <row r="26" customFormat="false" ht="22.05" hidden="false" customHeight="false" outlineLevel="0" collapsed="false">
      <c r="A26" s="1" t="s">
        <v>23</v>
      </c>
      <c r="B26" s="1" t="n">
        <v>35</v>
      </c>
      <c r="C26" s="1" t="n">
        <v>42</v>
      </c>
      <c r="D26" s="5" t="n">
        <v>41</v>
      </c>
      <c r="E26" s="5" t="n">
        <v>44</v>
      </c>
      <c r="F26" s="11" t="n">
        <f aca="false">AVERAGE(B26:E26)</f>
        <v>40.5</v>
      </c>
      <c r="G26" s="11" t="n">
        <f aca="false">STDEV(B26:E26)/SQRT(4)</f>
        <v>1.93649167310371</v>
      </c>
      <c r="H26" s="7" t="n">
        <f aca="false">F26/$F$23</f>
        <v>0.941860465116279</v>
      </c>
      <c r="I26" s="7" t="n">
        <f aca="false">G26/$F$23</f>
        <v>0.0450346900721793</v>
      </c>
    </row>
    <row r="27" customFormat="false" ht="22.05" hidden="false" customHeight="false" outlineLevel="0" collapsed="false">
      <c r="A27" s="1" t="s">
        <v>24</v>
      </c>
      <c r="B27" s="12"/>
      <c r="C27" s="1" t="n">
        <v>38</v>
      </c>
      <c r="D27" s="5" t="n">
        <v>42</v>
      </c>
      <c r="E27" s="5" t="n">
        <v>45</v>
      </c>
      <c r="F27" s="11" t="n">
        <f aca="false">AVERAGE(B27:E27)</f>
        <v>41.6666666666667</v>
      </c>
      <c r="G27" s="11" t="n">
        <f aca="false">STDEV(B27:E27)/SQRT(4)</f>
        <v>1.75594229214212</v>
      </c>
      <c r="H27" s="7" t="n">
        <f aca="false">F27/$F$23</f>
        <v>0.968992248062015</v>
      </c>
      <c r="I27" s="7" t="n">
        <f aca="false">G27/$F$23</f>
        <v>0.0408358672591191</v>
      </c>
    </row>
    <row r="28" customFormat="false" ht="22.05" hidden="false" customHeight="false" outlineLevel="0" collapsed="false">
      <c r="A28" s="1" t="s">
        <v>25</v>
      </c>
      <c r="B28" s="12"/>
      <c r="C28" s="1" t="n">
        <v>39</v>
      </c>
      <c r="D28" s="5" t="n">
        <v>34</v>
      </c>
      <c r="E28" s="5" t="n">
        <v>33</v>
      </c>
      <c r="F28" s="11" t="n">
        <f aca="false">AVERAGE(B28:E28)</f>
        <v>35.3333333333333</v>
      </c>
      <c r="G28" s="11" t="n">
        <f aca="false">STDEV(B28:E28)/SQRT(4)</f>
        <v>1.60727512683216</v>
      </c>
      <c r="H28" s="7" t="n">
        <f aca="false">F28/$F$23</f>
        <v>0.821705426356589</v>
      </c>
      <c r="I28" s="7" t="n">
        <f aca="false">G28/$F$23</f>
        <v>0.0373784913216781</v>
      </c>
    </row>
    <row r="29" customFormat="false" ht="22.05" hidden="false" customHeight="false" outlineLevel="0" collapsed="false">
      <c r="B29" s="5"/>
    </row>
    <row r="31" customFormat="false" ht="22.05" hidden="false" customHeight="false" outlineLevel="0" collapsed="false">
      <c r="A31" s="2" t="s">
        <v>28</v>
      </c>
      <c r="B31" s="2"/>
      <c r="C31" s="2"/>
      <c r="D31" s="2"/>
      <c r="E31" s="2"/>
      <c r="F31" s="2"/>
    </row>
    <row r="32" customFormat="false" ht="22.05" hidden="false" customHeight="false" outlineLevel="0" collapsed="false">
      <c r="B32" s="1" t="s">
        <v>1</v>
      </c>
      <c r="C32" s="1" t="s">
        <v>2</v>
      </c>
      <c r="D32" s="1" t="s">
        <v>3</v>
      </c>
      <c r="E32" s="1" t="s">
        <v>4</v>
      </c>
      <c r="F32" s="1" t="s">
        <v>5</v>
      </c>
      <c r="G32" s="10" t="s">
        <v>16</v>
      </c>
      <c r="H32" s="10" t="s">
        <v>17</v>
      </c>
      <c r="I32" s="4" t="s">
        <v>18</v>
      </c>
      <c r="J32" s="4" t="s">
        <v>19</v>
      </c>
    </row>
    <row r="33" customFormat="false" ht="22.05" hidden="false" customHeight="false" outlineLevel="0" collapsed="false">
      <c r="A33" s="1" t="s">
        <v>20</v>
      </c>
      <c r="B33" s="1" t="n">
        <v>31</v>
      </c>
      <c r="C33" s="5" t="n">
        <v>30</v>
      </c>
      <c r="D33" s="5" t="n">
        <v>27</v>
      </c>
      <c r="E33" s="1" t="n">
        <v>28</v>
      </c>
      <c r="F33" s="1" t="n">
        <v>34</v>
      </c>
      <c r="G33" s="11" t="n">
        <f aca="false">AVERAGE(B33:F33)</f>
        <v>30</v>
      </c>
      <c r="H33" s="11" t="n">
        <f aca="false">STDEV(B33:F33)/SQRT(5)</f>
        <v>1.22474487139159</v>
      </c>
      <c r="I33" s="7" t="n">
        <f aca="false">G33/$G$33</f>
        <v>1</v>
      </c>
      <c r="J33" s="7" t="n">
        <f aca="false">H33/$G$33</f>
        <v>0.0408248290463863</v>
      </c>
    </row>
    <row r="34" customFormat="false" ht="22.05" hidden="false" customHeight="false" outlineLevel="0" collapsed="false">
      <c r="A34" s="1" t="s">
        <v>21</v>
      </c>
      <c r="B34" s="1" t="n">
        <v>32</v>
      </c>
      <c r="C34" s="5" t="n">
        <v>32</v>
      </c>
      <c r="D34" s="5" t="n">
        <v>24</v>
      </c>
      <c r="E34" s="1" t="n">
        <v>31</v>
      </c>
      <c r="F34" s="1" t="n">
        <v>29</v>
      </c>
      <c r="G34" s="11" t="n">
        <f aca="false">AVERAGE(B34:F34)</f>
        <v>29.6</v>
      </c>
      <c r="H34" s="11" t="n">
        <f aca="false">STDEV(B34:F34)/SQRT(5)</f>
        <v>1.50332963783729</v>
      </c>
      <c r="I34" s="7" t="n">
        <f aca="false">G34/$G$33</f>
        <v>0.986666666666667</v>
      </c>
      <c r="J34" s="7" t="n">
        <f aca="false">H34/$G$33</f>
        <v>0.0501109879279097</v>
      </c>
    </row>
    <row r="35" customFormat="false" ht="22.05" hidden="false" customHeight="false" outlineLevel="0" collapsed="false">
      <c r="A35" s="1" t="s">
        <v>22</v>
      </c>
      <c r="B35" s="1" t="n">
        <v>28</v>
      </c>
      <c r="C35" s="5" t="n">
        <v>36</v>
      </c>
      <c r="D35" s="5" t="n">
        <v>24</v>
      </c>
      <c r="E35" s="1" t="n">
        <v>32</v>
      </c>
      <c r="F35" s="1" t="n">
        <v>36</v>
      </c>
      <c r="G35" s="11" t="n">
        <f aca="false">AVERAGE(B35:F35)</f>
        <v>31.2</v>
      </c>
      <c r="H35" s="11" t="n">
        <f aca="false">STDEV(B35:F35)/SQRT(5)</f>
        <v>2.33238075793812</v>
      </c>
      <c r="I35" s="7" t="n">
        <f aca="false">G35/$G$33</f>
        <v>1.04</v>
      </c>
      <c r="J35" s="7" t="n">
        <f aca="false">H35/$G$33</f>
        <v>0.077746025264604</v>
      </c>
    </row>
    <row r="36" customFormat="false" ht="22.05" hidden="false" customHeight="false" outlineLevel="0" collapsed="false">
      <c r="A36" s="1" t="s">
        <v>23</v>
      </c>
      <c r="B36" s="1" t="n">
        <v>30</v>
      </c>
      <c r="C36" s="5" t="n">
        <v>29</v>
      </c>
      <c r="D36" s="5" t="n">
        <v>22</v>
      </c>
      <c r="E36" s="1" t="n">
        <v>31</v>
      </c>
      <c r="F36" s="1" t="n">
        <v>26</v>
      </c>
      <c r="G36" s="11" t="n">
        <f aca="false">AVERAGE(B36:F36)</f>
        <v>27.6</v>
      </c>
      <c r="H36" s="11" t="n">
        <f aca="false">STDEV(B36:F36)/SQRT(5)</f>
        <v>1.63095064303001</v>
      </c>
      <c r="I36" s="7" t="n">
        <f aca="false">G36/$G$33</f>
        <v>0.92</v>
      </c>
      <c r="J36" s="7" t="n">
        <f aca="false">H36/$G$33</f>
        <v>0.0543650214343336</v>
      </c>
    </row>
    <row r="37" customFormat="false" ht="22.05" hidden="false" customHeight="false" outlineLevel="0" collapsed="false">
      <c r="A37" s="1" t="s">
        <v>24</v>
      </c>
      <c r="B37" s="1" t="n">
        <v>28</v>
      </c>
      <c r="C37" s="5" t="n">
        <v>33</v>
      </c>
      <c r="D37" s="5" t="n">
        <v>29</v>
      </c>
      <c r="E37" s="1" t="n">
        <v>31</v>
      </c>
      <c r="F37" s="1" t="n">
        <v>30</v>
      </c>
      <c r="G37" s="11" t="n">
        <f aca="false">AVERAGE(B37:F37)</f>
        <v>30.2</v>
      </c>
      <c r="H37" s="11" t="n">
        <f aca="false">STDEV(B37:F37)/SQRT(5)</f>
        <v>0.860232526704263</v>
      </c>
      <c r="I37" s="7" t="n">
        <f aca="false">G37/$G$33</f>
        <v>1.00666666666667</v>
      </c>
      <c r="J37" s="7" t="n">
        <f aca="false">H37/$G$33</f>
        <v>0.0286744175568088</v>
      </c>
    </row>
    <row r="38" customFormat="false" ht="22.05" hidden="false" customHeight="false" outlineLevel="0" collapsed="false">
      <c r="A38" s="1" t="s">
        <v>25</v>
      </c>
      <c r="B38" s="8"/>
      <c r="C38" s="1" t="n">
        <v>32</v>
      </c>
      <c r="D38" s="1" t="n">
        <v>30</v>
      </c>
      <c r="E38" s="1" t="n">
        <v>31</v>
      </c>
      <c r="F38" s="1" t="n">
        <v>33</v>
      </c>
      <c r="G38" s="11" t="n">
        <f aca="false">AVERAGE(B38:F38)</f>
        <v>31.5</v>
      </c>
      <c r="H38" s="11" t="n">
        <f aca="false">STDEV(B38:F38)/SQRT(5)</f>
        <v>0.577350269189626</v>
      </c>
      <c r="I38" s="7" t="n">
        <f aca="false">G38/$G$33</f>
        <v>1.05</v>
      </c>
      <c r="J38" s="7" t="n">
        <f aca="false">H38/$G$33</f>
        <v>0.0192450089729875</v>
      </c>
    </row>
  </sheetData>
  <mergeCells count="4">
    <mergeCell ref="A1:P1"/>
    <mergeCell ref="A12:D12"/>
    <mergeCell ref="A21:F21"/>
    <mergeCell ref="A31:F31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U16" activeCellId="0" sqref="U16"/>
    </sheetView>
  </sheetViews>
  <sheetFormatPr defaultColWidth="11.53515625" defaultRowHeight="22.05" customHeight="true" zeroHeight="false" outlineLevelRow="0" outlineLevelCol="0"/>
  <cols>
    <col collapsed="false" customWidth="true" hidden="false" outlineLevel="0" max="1" min="1" style="1" width="27.45"/>
    <col collapsed="false" customWidth="true" hidden="false" outlineLevel="0" max="6" min="2" style="1" width="14.15"/>
    <col collapsed="false" customWidth="true" hidden="false" outlineLevel="0" max="7" min="7" style="1" width="34.1"/>
    <col collapsed="false" customWidth="true" hidden="false" outlineLevel="0" max="8" min="8" style="1" width="29.31"/>
    <col collapsed="false" customWidth="true" hidden="false" outlineLevel="0" max="9" min="9" style="1" width="34.1"/>
    <col collapsed="false" customWidth="true" hidden="false" outlineLevel="0" max="10" min="10" style="1" width="29.31"/>
    <col collapsed="false" customWidth="true" hidden="false" outlineLevel="0" max="16" min="11" style="1" width="16.01"/>
    <col collapsed="false" customWidth="true" hidden="false" outlineLevel="0" max="17" min="17" style="1" width="15.61"/>
    <col collapsed="false" customWidth="true" hidden="false" outlineLevel="0" max="18" min="18" style="1" width="14.15"/>
    <col collapsed="false" customWidth="true" hidden="false" outlineLevel="0" max="19" min="19" style="1" width="14.68"/>
    <col collapsed="false" customWidth="true" hidden="false" outlineLevel="0" max="20" min="20" style="1" width="34.1"/>
    <col collapsed="false" customWidth="true" hidden="false" outlineLevel="0" max="21" min="21" style="1" width="29.31"/>
    <col collapsed="false" customWidth="false" hidden="false" outlineLevel="0" max="16384" min="22" style="1" width="11.53"/>
  </cols>
  <sheetData>
    <row r="1" customFormat="false" ht="22.05" hidden="false" customHeight="false" outlineLevel="0" collapsed="false">
      <c r="A1" s="2" t="s">
        <v>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2.05" hidden="false" customHeight="false" outlineLevel="0" collapsed="false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30</v>
      </c>
      <c r="R2" s="10" t="s">
        <v>16</v>
      </c>
      <c r="S2" s="10" t="s">
        <v>17</v>
      </c>
      <c r="T2" s="4" t="s">
        <v>18</v>
      </c>
      <c r="U2" s="4" t="s">
        <v>19</v>
      </c>
    </row>
    <row r="3" customFormat="false" ht="22.05" hidden="false" customHeight="false" outlineLevel="0" collapsed="false">
      <c r="A3" s="1" t="s">
        <v>20</v>
      </c>
      <c r="B3" s="1" t="n">
        <v>47</v>
      </c>
      <c r="C3" s="1" t="n">
        <v>35</v>
      </c>
      <c r="D3" s="1" t="n">
        <v>34</v>
      </c>
      <c r="E3" s="1" t="n">
        <v>31</v>
      </c>
      <c r="F3" s="1" t="n">
        <v>43</v>
      </c>
      <c r="G3" s="5" t="n">
        <v>33</v>
      </c>
      <c r="H3" s="5" t="n">
        <v>36</v>
      </c>
      <c r="I3" s="5" t="n">
        <v>39</v>
      </c>
      <c r="J3" s="5" t="n">
        <v>45</v>
      </c>
      <c r="K3" s="5" t="n">
        <v>43</v>
      </c>
      <c r="L3" s="5" t="n">
        <v>46</v>
      </c>
      <c r="M3" s="5" t="n">
        <v>45</v>
      </c>
      <c r="N3" s="5" t="n">
        <v>44</v>
      </c>
      <c r="O3" s="5" t="n">
        <v>38</v>
      </c>
      <c r="P3" s="5" t="n">
        <v>42</v>
      </c>
      <c r="Q3" s="5" t="n">
        <v>33</v>
      </c>
      <c r="R3" s="11" t="n">
        <f aca="false">AVERAGE(B3:Q3)</f>
        <v>39.625</v>
      </c>
      <c r="S3" s="11" t="n">
        <f aca="false">STDEV(B3:Q3)/16</f>
        <v>0.335313131018356</v>
      </c>
      <c r="T3" s="7" t="n">
        <f aca="false">R3/$R$3</f>
        <v>1</v>
      </c>
      <c r="U3" s="7" t="n">
        <f aca="false">S3/$R$3</f>
        <v>0.00846216103516356</v>
      </c>
    </row>
    <row r="4" customFormat="false" ht="22.05" hidden="false" customHeight="false" outlineLevel="0" collapsed="false">
      <c r="A4" s="1" t="s">
        <v>21</v>
      </c>
      <c r="B4" s="1" t="n">
        <v>39</v>
      </c>
      <c r="C4" s="1" t="n">
        <v>35</v>
      </c>
      <c r="D4" s="1" t="n">
        <v>39</v>
      </c>
      <c r="E4" s="1" t="n">
        <v>32</v>
      </c>
      <c r="F4" s="1" t="n">
        <v>36</v>
      </c>
      <c r="G4" s="5" t="n">
        <v>33</v>
      </c>
      <c r="H4" s="5" t="n">
        <v>37</v>
      </c>
      <c r="I4" s="5" t="n">
        <v>38</v>
      </c>
      <c r="J4" s="5" t="n">
        <v>34</v>
      </c>
      <c r="K4" s="5" t="n">
        <v>41</v>
      </c>
      <c r="L4" s="5" t="n">
        <v>41</v>
      </c>
      <c r="M4" s="5" t="n">
        <v>50</v>
      </c>
      <c r="N4" s="5" t="n">
        <v>46</v>
      </c>
      <c r="O4" s="5" t="n">
        <v>40</v>
      </c>
      <c r="P4" s="5" t="n">
        <v>40</v>
      </c>
      <c r="Q4" s="5" t="n">
        <v>35</v>
      </c>
      <c r="R4" s="11" t="n">
        <f aca="false">AVERAGE(B4:Q4)</f>
        <v>38.5</v>
      </c>
      <c r="S4" s="11" t="n">
        <f aca="false">STDEV(B4:Q4)/16</f>
        <v>0.294037979406289</v>
      </c>
      <c r="T4" s="7" t="n">
        <f aca="false">R4/$R$3</f>
        <v>0.971608832807571</v>
      </c>
      <c r="U4" s="7" t="n">
        <f aca="false">S4/$R$3</f>
        <v>0.00742051683044263</v>
      </c>
    </row>
    <row r="5" customFormat="false" ht="22.05" hidden="false" customHeight="false" outlineLevel="0" collapsed="false">
      <c r="A5" s="1" t="s">
        <v>22</v>
      </c>
      <c r="B5" s="1" t="n">
        <v>37</v>
      </c>
      <c r="C5" s="1" t="n">
        <v>40</v>
      </c>
      <c r="D5" s="1" t="n">
        <v>41</v>
      </c>
      <c r="E5" s="1" t="n">
        <v>33</v>
      </c>
      <c r="F5" s="1" t="n">
        <v>43</v>
      </c>
      <c r="G5" s="5" t="n">
        <v>35</v>
      </c>
      <c r="H5" s="5" t="n">
        <v>34</v>
      </c>
      <c r="I5" s="5" t="n">
        <v>33</v>
      </c>
      <c r="J5" s="5" t="n">
        <v>39</v>
      </c>
      <c r="K5" s="5" t="n">
        <v>40</v>
      </c>
      <c r="L5" s="5" t="n">
        <v>47</v>
      </c>
      <c r="M5" s="5" t="n">
        <v>54</v>
      </c>
      <c r="N5" s="5" t="n">
        <v>43</v>
      </c>
      <c r="O5" s="5" t="n">
        <v>36</v>
      </c>
      <c r="P5" s="5" t="n">
        <v>41</v>
      </c>
      <c r="Q5" s="5" t="n">
        <v>43</v>
      </c>
      <c r="R5" s="11" t="n">
        <f aca="false">AVERAGE(B5:Q5)</f>
        <v>39.9375</v>
      </c>
      <c r="S5" s="11" t="n">
        <f aca="false">STDEV(B5:Q5)/16</f>
        <v>0.345709377886012</v>
      </c>
      <c r="T5" s="7" t="n">
        <f aca="false">R5/$R$3</f>
        <v>1.00788643533123</v>
      </c>
      <c r="U5" s="7" t="n">
        <f aca="false">S5/$R$3</f>
        <v>0.00872452688671323</v>
      </c>
    </row>
    <row r="6" customFormat="false" ht="22.05" hidden="false" customHeight="false" outlineLevel="0" collapsed="false">
      <c r="A6" s="1" t="s">
        <v>23</v>
      </c>
      <c r="B6" s="1" t="n">
        <v>47</v>
      </c>
      <c r="C6" s="1" t="n">
        <v>51</v>
      </c>
      <c r="D6" s="1" t="n">
        <v>45</v>
      </c>
      <c r="E6" s="1" t="n">
        <v>28</v>
      </c>
      <c r="F6" s="1" t="n">
        <v>39</v>
      </c>
      <c r="G6" s="5" t="n">
        <v>44</v>
      </c>
      <c r="H6" s="5" t="n">
        <v>42</v>
      </c>
      <c r="I6" s="5" t="n">
        <v>37</v>
      </c>
      <c r="J6" s="5" t="n">
        <v>39</v>
      </c>
      <c r="K6" s="5" t="n">
        <v>36</v>
      </c>
      <c r="L6" s="5" t="n">
        <v>39</v>
      </c>
      <c r="M6" s="5" t="n">
        <v>53</v>
      </c>
      <c r="N6" s="5" t="n">
        <v>41</v>
      </c>
      <c r="O6" s="5" t="n">
        <v>39</v>
      </c>
      <c r="P6" s="5" t="n">
        <v>51</v>
      </c>
      <c r="Q6" s="5" t="n">
        <v>47</v>
      </c>
      <c r="R6" s="11" t="n">
        <f aca="false">AVERAGE(B6:Q6)</f>
        <v>42.375</v>
      </c>
      <c r="S6" s="11" t="n">
        <f aca="false">STDEV(B6:Q6)/16</f>
        <v>0.407530034680472</v>
      </c>
      <c r="T6" s="7" t="n">
        <f aca="false">R6/$R$3</f>
        <v>1.06940063091483</v>
      </c>
      <c r="U6" s="7" t="n">
        <f aca="false">S6/$R$3</f>
        <v>0.010284669644933</v>
      </c>
    </row>
    <row r="7" customFormat="false" ht="22.05" hidden="false" customHeight="false" outlineLevel="0" collapsed="false">
      <c r="A7" s="1" t="s">
        <v>24</v>
      </c>
      <c r="B7" s="1" t="n">
        <v>57</v>
      </c>
      <c r="C7" s="1" t="n">
        <v>34</v>
      </c>
      <c r="D7" s="1" t="n">
        <v>59</v>
      </c>
      <c r="E7" s="8"/>
      <c r="F7" s="1" t="n">
        <v>45</v>
      </c>
      <c r="G7" s="5" t="n">
        <v>33</v>
      </c>
      <c r="H7" s="5" t="n">
        <v>33</v>
      </c>
      <c r="I7" s="5" t="n">
        <v>36</v>
      </c>
      <c r="J7" s="5" t="n">
        <v>35</v>
      </c>
      <c r="K7" s="5" t="n">
        <v>43</v>
      </c>
      <c r="L7" s="5" t="n">
        <v>38</v>
      </c>
      <c r="M7" s="5" t="n">
        <v>52</v>
      </c>
      <c r="N7" s="5" t="n">
        <v>48</v>
      </c>
      <c r="O7" s="5" t="n">
        <v>42</v>
      </c>
      <c r="P7" s="5" t="n">
        <v>52</v>
      </c>
      <c r="Q7" s="5" t="n">
        <v>50</v>
      </c>
      <c r="R7" s="11" t="n">
        <f aca="false">AVERAGE(B7:Q7)</f>
        <v>43.8</v>
      </c>
      <c r="S7" s="11" t="n">
        <f aca="false">STDEV(B7:Q7)/16</f>
        <v>0.554607325694753</v>
      </c>
      <c r="T7" s="7" t="n">
        <f aca="false">R7/$R$3</f>
        <v>1.10536277602524</v>
      </c>
      <c r="U7" s="7" t="n">
        <f aca="false">S7/$R$3</f>
        <v>0.0139963993866184</v>
      </c>
    </row>
    <row r="8" customFormat="false" ht="22.05" hidden="false" customHeight="false" outlineLevel="0" collapsed="false">
      <c r="A8" s="1" t="s">
        <v>25</v>
      </c>
      <c r="B8" s="5" t="n">
        <v>47</v>
      </c>
      <c r="C8" s="8"/>
      <c r="D8" s="5" t="n">
        <v>47</v>
      </c>
      <c r="E8" s="8"/>
      <c r="F8" s="5" t="n">
        <v>36</v>
      </c>
      <c r="G8" s="5" t="n">
        <v>40</v>
      </c>
      <c r="H8" s="8"/>
      <c r="I8" s="5" t="n">
        <v>49</v>
      </c>
      <c r="J8" s="5" t="n">
        <v>42</v>
      </c>
      <c r="K8" s="8"/>
      <c r="L8" s="5" t="n">
        <v>47</v>
      </c>
      <c r="M8" s="5" t="n">
        <v>45</v>
      </c>
      <c r="N8" s="8"/>
      <c r="O8" s="8"/>
      <c r="P8" s="5" t="n">
        <v>58</v>
      </c>
      <c r="Q8" s="5" t="n">
        <v>59</v>
      </c>
      <c r="R8" s="11" t="n">
        <f aca="false">AVERAGE(B8:Q8)</f>
        <v>47</v>
      </c>
      <c r="S8" s="11" t="n">
        <f aca="false">STDEV(B8:Q8)/16</f>
        <v>0.450693909432999</v>
      </c>
      <c r="T8" s="7" t="n">
        <f aca="false">R8/$R$3</f>
        <v>1.18611987381703</v>
      </c>
      <c r="U8" s="7" t="n">
        <f aca="false">S8/$R$3</f>
        <v>0.0113739787869526</v>
      </c>
    </row>
    <row r="9" customFormat="false" ht="22.05" hidden="false" customHeight="false" outlineLevel="0" collapsed="false">
      <c r="I9" s="5"/>
      <c r="J9" s="5"/>
      <c r="L9" s="5"/>
      <c r="M9" s="5"/>
      <c r="N9" s="5"/>
      <c r="O9" s="5"/>
      <c r="P9" s="5"/>
      <c r="Q9" s="5"/>
    </row>
    <row r="10" customFormat="false" ht="22.05" hidden="false" customHeight="false" outlineLevel="0" collapsed="false">
      <c r="I10" s="5"/>
      <c r="J10" s="5"/>
    </row>
    <row r="11" customFormat="false" ht="22.05" hidden="false" customHeight="false" outlineLevel="0" collapsed="false">
      <c r="A11" s="2" t="s">
        <v>26</v>
      </c>
      <c r="B11" s="2"/>
      <c r="C11" s="2"/>
      <c r="D11" s="2"/>
    </row>
    <row r="12" customFormat="false" ht="22.05" hidden="false" customHeight="false" outlineLevel="0" collapsed="false">
      <c r="B12" s="1" t="s">
        <v>1</v>
      </c>
      <c r="C12" s="1" t="s">
        <v>2</v>
      </c>
      <c r="D12" s="1" t="s">
        <v>3</v>
      </c>
      <c r="E12" s="10" t="s">
        <v>16</v>
      </c>
      <c r="F12" s="10" t="s">
        <v>17</v>
      </c>
      <c r="G12" s="4" t="s">
        <v>18</v>
      </c>
      <c r="H12" s="4" t="s">
        <v>19</v>
      </c>
    </row>
    <row r="13" customFormat="false" ht="22.05" hidden="false" customHeight="false" outlineLevel="0" collapsed="false">
      <c r="A13" s="1" t="s">
        <v>20</v>
      </c>
      <c r="B13" s="1" t="n">
        <v>38</v>
      </c>
      <c r="C13" s="5" t="n">
        <v>25</v>
      </c>
      <c r="D13" s="1" t="n">
        <v>35</v>
      </c>
      <c r="E13" s="1" t="n">
        <f aca="false">AVERAGE(B13:D13)</f>
        <v>32.6666666666667</v>
      </c>
      <c r="F13" s="11" t="n">
        <f aca="false">STDEV(B13:D13)/SQRT(3)</f>
        <v>3.92994204085053</v>
      </c>
      <c r="G13" s="7" t="n">
        <f aca="false">E13/$E$13</f>
        <v>1</v>
      </c>
      <c r="H13" s="7" t="n">
        <f aca="false">F13/$E$13</f>
        <v>0.120304348189302</v>
      </c>
    </row>
    <row r="14" customFormat="false" ht="22.05" hidden="false" customHeight="false" outlineLevel="0" collapsed="false">
      <c r="A14" s="1" t="s">
        <v>21</v>
      </c>
      <c r="B14" s="1" t="n">
        <v>36</v>
      </c>
      <c r="C14" s="5" t="n">
        <v>24</v>
      </c>
      <c r="D14" s="1" t="n">
        <v>32</v>
      </c>
      <c r="E14" s="1" t="n">
        <f aca="false">AVERAGE(B14:D14)</f>
        <v>30.6666666666667</v>
      </c>
      <c r="F14" s="11" t="n">
        <f aca="false">STDEV(B14:D14)/SQRT(3)</f>
        <v>3.52766841475279</v>
      </c>
      <c r="G14" s="7" t="n">
        <f aca="false">E14/$E$13</f>
        <v>0.938775510204082</v>
      </c>
      <c r="H14" s="7" t="n">
        <f aca="false">F14/$E$13</f>
        <v>0.107989849431208</v>
      </c>
    </row>
    <row r="15" customFormat="false" ht="22.05" hidden="false" customHeight="false" outlineLevel="0" collapsed="false">
      <c r="A15" s="1" t="s">
        <v>22</v>
      </c>
      <c r="B15" s="1" t="n">
        <v>32</v>
      </c>
      <c r="C15" s="5" t="n">
        <v>23</v>
      </c>
      <c r="D15" s="1" t="n">
        <v>42</v>
      </c>
      <c r="E15" s="1" t="n">
        <f aca="false">AVERAGE(B15:D15)</f>
        <v>32.3333333333333</v>
      </c>
      <c r="F15" s="11" t="n">
        <f aca="false">STDEV(B15:D15)/SQRT(3)</f>
        <v>5.48735921105144</v>
      </c>
      <c r="G15" s="7" t="n">
        <f aca="false">E15/$E$13</f>
        <v>0.989795918367347</v>
      </c>
      <c r="H15" s="7" t="n">
        <f aca="false">F15/$E$13</f>
        <v>0.167980384011779</v>
      </c>
    </row>
    <row r="16" customFormat="false" ht="22.05" hidden="false" customHeight="false" outlineLevel="0" collapsed="false">
      <c r="A16" s="1" t="s">
        <v>23</v>
      </c>
      <c r="B16" s="1" t="n">
        <v>43</v>
      </c>
      <c r="C16" s="5" t="n">
        <v>26</v>
      </c>
      <c r="D16" s="1" t="n">
        <v>32</v>
      </c>
      <c r="E16" s="1" t="n">
        <f aca="false">AVERAGE(B16:D16)</f>
        <v>33.6666666666667</v>
      </c>
      <c r="F16" s="11" t="n">
        <f aca="false">STDEV(B16:D16)/SQRT(3)</f>
        <v>4.97772817435603</v>
      </c>
      <c r="G16" s="7" t="n">
        <f aca="false">E16/$E$13</f>
        <v>1.03061224489796</v>
      </c>
      <c r="H16" s="7" t="n">
        <f aca="false">F16/$E$13</f>
        <v>0.152379433908858</v>
      </c>
      <c r="U16" s="1" t="s">
        <v>31</v>
      </c>
    </row>
    <row r="17" customFormat="false" ht="22.05" hidden="false" customHeight="false" outlineLevel="0" collapsed="false">
      <c r="A17" s="1" t="s">
        <v>24</v>
      </c>
      <c r="B17" s="1" t="n">
        <v>35</v>
      </c>
      <c r="C17" s="5" t="n">
        <v>26</v>
      </c>
      <c r="D17" s="1" t="n">
        <v>36</v>
      </c>
      <c r="E17" s="1" t="n">
        <f aca="false">AVERAGE(B17:D17)</f>
        <v>32.3333333333333</v>
      </c>
      <c r="F17" s="11" t="n">
        <f aca="false">STDEV(B17:D17)/SQRT(3)</f>
        <v>3.17979733805649</v>
      </c>
      <c r="G17" s="7" t="n">
        <f aca="false">E17/$E$13</f>
        <v>0.989795918367347</v>
      </c>
      <c r="H17" s="7" t="n">
        <f aca="false">F17/$E$13</f>
        <v>0.0973407348384639</v>
      </c>
    </row>
    <row r="18" customFormat="false" ht="22.05" hidden="false" customHeight="false" outlineLevel="0" collapsed="false">
      <c r="A18" s="1" t="s">
        <v>25</v>
      </c>
      <c r="B18" s="1" t="n">
        <v>36</v>
      </c>
      <c r="C18" s="12"/>
      <c r="D18" s="1" t="n">
        <v>33</v>
      </c>
      <c r="E18" s="1" t="n">
        <f aca="false">AVERAGE(B18:D18)</f>
        <v>34.5</v>
      </c>
      <c r="F18" s="11" t="n">
        <f aca="false">STDEV(B18:D18)/SQRT(3)</f>
        <v>1.22474487139159</v>
      </c>
      <c r="G18" s="7" t="n">
        <f aca="false">E18/$E$13</f>
        <v>1.05612244897959</v>
      </c>
      <c r="H18" s="7" t="n">
        <f aca="false">F18/$E$13</f>
        <v>0.0374921899405589</v>
      </c>
    </row>
    <row r="20" customFormat="false" ht="22.05" hidden="false" customHeight="false" outlineLevel="0" collapsed="false">
      <c r="A20" s="2" t="s">
        <v>32</v>
      </c>
      <c r="B20" s="2"/>
      <c r="C20" s="2"/>
      <c r="D20" s="2"/>
      <c r="E20" s="2"/>
      <c r="F20" s="2"/>
    </row>
    <row r="21" customFormat="false" ht="22.05" hidden="false" customHeight="false" outlineLevel="0" collapsed="false"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0" t="s">
        <v>16</v>
      </c>
      <c r="H21" s="10" t="s">
        <v>17</v>
      </c>
      <c r="I21" s="4" t="s">
        <v>18</v>
      </c>
      <c r="J21" s="4" t="s">
        <v>19</v>
      </c>
    </row>
    <row r="22" customFormat="false" ht="22.05" hidden="false" customHeight="false" outlineLevel="0" collapsed="false">
      <c r="A22" s="1" t="s">
        <v>20</v>
      </c>
      <c r="B22" s="1" t="n">
        <v>32</v>
      </c>
      <c r="C22" s="1" t="n">
        <v>39</v>
      </c>
      <c r="D22" s="1" t="n">
        <v>27</v>
      </c>
      <c r="E22" s="1" t="n">
        <v>34</v>
      </c>
      <c r="F22" s="1" t="n">
        <v>41</v>
      </c>
      <c r="G22" s="1" t="n">
        <f aca="false">AVERAGE(B22:F22)</f>
        <v>34.6</v>
      </c>
      <c r="H22" s="11" t="n">
        <f aca="false">STDEV(B22:F22)/SQRT(5)</f>
        <v>2.50199920063936</v>
      </c>
      <c r="I22" s="7" t="n">
        <f aca="false">G22/$G$22</f>
        <v>1</v>
      </c>
      <c r="J22" s="7" t="n">
        <f aca="false">H22/$G$22</f>
        <v>0.0723121156254151</v>
      </c>
    </row>
    <row r="23" customFormat="false" ht="22.05" hidden="false" customHeight="false" outlineLevel="0" collapsed="false">
      <c r="A23" s="1" t="s">
        <v>21</v>
      </c>
      <c r="B23" s="1" t="n">
        <v>40</v>
      </c>
      <c r="C23" s="1" t="n">
        <v>28</v>
      </c>
      <c r="D23" s="1" t="n">
        <v>28</v>
      </c>
      <c r="E23" s="1" t="n">
        <v>46</v>
      </c>
      <c r="F23" s="1" t="n">
        <v>39</v>
      </c>
      <c r="G23" s="1" t="n">
        <f aca="false">AVERAGE(B23:F23)</f>
        <v>36.2</v>
      </c>
      <c r="H23" s="11" t="n">
        <f aca="false">STDEV(B23:F23)/SQRT(5)</f>
        <v>3.55527776692624</v>
      </c>
      <c r="I23" s="7" t="n">
        <f aca="false">G23/$G$22</f>
        <v>1.04624277456647</v>
      </c>
      <c r="J23" s="7" t="n">
        <f aca="false">H23/$G$22</f>
        <v>0.102753692685729</v>
      </c>
    </row>
    <row r="24" customFormat="false" ht="22.05" hidden="false" customHeight="false" outlineLevel="0" collapsed="false">
      <c r="A24" s="1" t="s">
        <v>22</v>
      </c>
      <c r="B24" s="1" t="n">
        <v>32</v>
      </c>
      <c r="C24" s="1" t="n">
        <v>38</v>
      </c>
      <c r="D24" s="1" t="n">
        <v>26</v>
      </c>
      <c r="E24" s="1" t="n">
        <v>47</v>
      </c>
      <c r="F24" s="1" t="n">
        <v>42</v>
      </c>
      <c r="G24" s="1" t="n">
        <f aca="false">AVERAGE(B24:F24)</f>
        <v>37</v>
      </c>
      <c r="H24" s="11" t="n">
        <f aca="false">STDEV(B24:F24)/SQRT(5)</f>
        <v>3.68781778291715</v>
      </c>
      <c r="I24" s="7" t="n">
        <f aca="false">G24/$G$22</f>
        <v>1.06936416184971</v>
      </c>
      <c r="J24" s="7" t="n">
        <f aca="false">H24/$G$22</f>
        <v>0.106584328986045</v>
      </c>
    </row>
    <row r="25" customFormat="false" ht="22.05" hidden="false" customHeight="false" outlineLevel="0" collapsed="false">
      <c r="A25" s="1" t="s">
        <v>23</v>
      </c>
      <c r="B25" s="1" t="n">
        <v>45</v>
      </c>
      <c r="C25" s="1" t="n">
        <v>43</v>
      </c>
      <c r="D25" s="1" t="n">
        <v>33</v>
      </c>
      <c r="E25" s="1" t="n">
        <v>37</v>
      </c>
      <c r="F25" s="1" t="n">
        <v>29</v>
      </c>
      <c r="G25" s="1" t="n">
        <f aca="false">AVERAGE(B25:F25)</f>
        <v>37.4</v>
      </c>
      <c r="H25" s="11" t="n">
        <f aca="false">STDEV(B25:F25)/SQRT(5)</f>
        <v>2.99332590941915</v>
      </c>
      <c r="I25" s="7" t="n">
        <f aca="false">G25/$G$22</f>
        <v>1.08092485549133</v>
      </c>
      <c r="J25" s="7" t="n">
        <f aca="false">H25/$G$22</f>
        <v>0.0865123095207848</v>
      </c>
    </row>
    <row r="26" customFormat="false" ht="22.05" hidden="false" customHeight="false" outlineLevel="0" collapsed="false">
      <c r="A26" s="1" t="s">
        <v>24</v>
      </c>
      <c r="B26" s="1" t="n">
        <v>37</v>
      </c>
      <c r="C26" s="8"/>
      <c r="D26" s="1" t="n">
        <v>35</v>
      </c>
      <c r="E26" s="1" t="n">
        <v>31</v>
      </c>
      <c r="F26" s="1" t="n">
        <v>38</v>
      </c>
      <c r="G26" s="1" t="n">
        <f aca="false">AVERAGE(B26:F26)</f>
        <v>35.25</v>
      </c>
      <c r="H26" s="11" t="n">
        <f aca="false">STDEV(B26:F26)/SQRT(5)</f>
        <v>1.38443731048635</v>
      </c>
      <c r="I26" s="7" t="n">
        <f aca="false">G26/$G$22</f>
        <v>1.01878612716763</v>
      </c>
      <c r="J26" s="7" t="n">
        <f aca="false">H26/$G$22</f>
        <v>0.0400126390313973</v>
      </c>
    </row>
    <row r="27" customFormat="false" ht="22.05" hidden="false" customHeight="false" outlineLevel="0" collapsed="false">
      <c r="A27" s="1" t="s">
        <v>25</v>
      </c>
      <c r="B27" s="1" t="n">
        <v>32</v>
      </c>
      <c r="C27" s="8"/>
      <c r="D27" s="8"/>
      <c r="E27" s="1" t="n">
        <v>36</v>
      </c>
      <c r="F27" s="8"/>
      <c r="G27" s="1" t="n">
        <f aca="false">AVERAGE(B27:F27)</f>
        <v>34</v>
      </c>
      <c r="H27" s="11" t="n">
        <f aca="false">STDEV(B27:F27)/SQRT(5)</f>
        <v>1.26491106406735</v>
      </c>
      <c r="I27" s="7" t="n">
        <f aca="false">G27/$G$22</f>
        <v>0.982658959537572</v>
      </c>
      <c r="J27" s="7" t="n">
        <f aca="false">H27/$G$22</f>
        <v>0.0365581232389408</v>
      </c>
    </row>
    <row r="29" customFormat="false" ht="22.05" hidden="false" customHeight="false" outlineLevel="0" collapsed="false">
      <c r="A29" s="2" t="s">
        <v>28</v>
      </c>
      <c r="B29" s="2"/>
      <c r="C29" s="2"/>
      <c r="D29" s="2"/>
      <c r="E29" s="2"/>
      <c r="F29" s="2"/>
    </row>
    <row r="30" customFormat="false" ht="22.05" hidden="false" customHeight="false" outlineLevel="0" collapsed="false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0" t="s">
        <v>16</v>
      </c>
      <c r="H30" s="10" t="s">
        <v>17</v>
      </c>
      <c r="I30" s="4" t="s">
        <v>18</v>
      </c>
      <c r="J30" s="4" t="s">
        <v>19</v>
      </c>
    </row>
    <row r="31" customFormat="false" ht="22.05" hidden="false" customHeight="false" outlineLevel="0" collapsed="false">
      <c r="A31" s="1" t="s">
        <v>20</v>
      </c>
      <c r="B31" s="1" t="n">
        <v>31</v>
      </c>
      <c r="C31" s="5" t="n">
        <v>30</v>
      </c>
      <c r="D31" s="5" t="n">
        <v>27</v>
      </c>
      <c r="E31" s="1" t="n">
        <v>28</v>
      </c>
      <c r="F31" s="1" t="n">
        <v>34</v>
      </c>
      <c r="G31" s="11" t="n">
        <f aca="false">AVERAGE(B31:F31)</f>
        <v>30</v>
      </c>
      <c r="H31" s="11" t="n">
        <f aca="false">STDEV(B31:F31)/SQRT(5)</f>
        <v>1.22474487139159</v>
      </c>
      <c r="I31" s="7" t="n">
        <f aca="false">G31/$G$31</f>
        <v>1</v>
      </c>
      <c r="J31" s="7" t="n">
        <f aca="false">H31/$G$31</f>
        <v>0.0408248290463863</v>
      </c>
    </row>
    <row r="32" customFormat="false" ht="22.05" hidden="false" customHeight="false" outlineLevel="0" collapsed="false">
      <c r="A32" s="1" t="s">
        <v>21</v>
      </c>
      <c r="B32" s="1" t="n">
        <v>32</v>
      </c>
      <c r="C32" s="5" t="n">
        <v>32</v>
      </c>
      <c r="D32" s="5" t="n">
        <v>24</v>
      </c>
      <c r="E32" s="1" t="n">
        <v>31</v>
      </c>
      <c r="F32" s="1" t="n">
        <v>29</v>
      </c>
      <c r="G32" s="11" t="n">
        <f aca="false">AVERAGE(B32:F32)</f>
        <v>29.6</v>
      </c>
      <c r="H32" s="11" t="n">
        <f aca="false">STDEV(B32:F32)/SQRT(5)</f>
        <v>1.50332963783729</v>
      </c>
      <c r="I32" s="7" t="n">
        <f aca="false">G32/$G$31</f>
        <v>0.986666666666667</v>
      </c>
      <c r="J32" s="7" t="n">
        <f aca="false">H32/$G$31</f>
        <v>0.0501109879279097</v>
      </c>
    </row>
    <row r="33" customFormat="false" ht="22.05" hidden="false" customHeight="false" outlineLevel="0" collapsed="false">
      <c r="A33" s="1" t="s">
        <v>22</v>
      </c>
      <c r="B33" s="1" t="n">
        <v>28</v>
      </c>
      <c r="C33" s="5" t="n">
        <v>36</v>
      </c>
      <c r="D33" s="5" t="n">
        <v>24</v>
      </c>
      <c r="E33" s="1" t="n">
        <v>32</v>
      </c>
      <c r="F33" s="1" t="n">
        <v>36</v>
      </c>
      <c r="G33" s="11" t="n">
        <f aca="false">AVERAGE(B33:F33)</f>
        <v>31.2</v>
      </c>
      <c r="H33" s="11" t="n">
        <f aca="false">STDEV(B33:F33)/SQRT(5)</f>
        <v>2.33238075793812</v>
      </c>
      <c r="I33" s="7" t="n">
        <f aca="false">G33/$G$31</f>
        <v>1.04</v>
      </c>
      <c r="J33" s="7" t="n">
        <f aca="false">H33/$G$31</f>
        <v>0.077746025264604</v>
      </c>
    </row>
    <row r="34" customFormat="false" ht="22.05" hidden="false" customHeight="false" outlineLevel="0" collapsed="false">
      <c r="A34" s="1" t="s">
        <v>23</v>
      </c>
      <c r="B34" s="1" t="n">
        <v>30</v>
      </c>
      <c r="C34" s="5" t="n">
        <v>29</v>
      </c>
      <c r="D34" s="5" t="n">
        <v>22</v>
      </c>
      <c r="E34" s="1" t="n">
        <v>31</v>
      </c>
      <c r="F34" s="1" t="n">
        <v>26</v>
      </c>
      <c r="G34" s="11" t="n">
        <f aca="false">AVERAGE(B34:F34)</f>
        <v>27.6</v>
      </c>
      <c r="H34" s="11" t="n">
        <f aca="false">STDEV(B34:F34)/SQRT(5)</f>
        <v>1.63095064303001</v>
      </c>
      <c r="I34" s="7" t="n">
        <f aca="false">G34/$G$31</f>
        <v>0.92</v>
      </c>
      <c r="J34" s="7" t="n">
        <f aca="false">H34/$G$31</f>
        <v>0.0543650214343336</v>
      </c>
    </row>
    <row r="35" customFormat="false" ht="22.05" hidden="false" customHeight="false" outlineLevel="0" collapsed="false">
      <c r="A35" s="1" t="s">
        <v>24</v>
      </c>
      <c r="B35" s="1" t="n">
        <v>28</v>
      </c>
      <c r="C35" s="5" t="n">
        <v>33</v>
      </c>
      <c r="D35" s="5" t="n">
        <v>29</v>
      </c>
      <c r="E35" s="1" t="n">
        <v>31</v>
      </c>
      <c r="F35" s="1" t="n">
        <v>30</v>
      </c>
      <c r="G35" s="11" t="n">
        <f aca="false">AVERAGE(B35:F35)</f>
        <v>30.2</v>
      </c>
      <c r="H35" s="11" t="n">
        <f aca="false">STDEV(B35:F35)/SQRT(5)</f>
        <v>0.860232526704263</v>
      </c>
      <c r="I35" s="7" t="n">
        <f aca="false">G35/$G$31</f>
        <v>1.00666666666667</v>
      </c>
      <c r="J35" s="7" t="n">
        <f aca="false">H35/$G$31</f>
        <v>0.0286744175568088</v>
      </c>
    </row>
    <row r="36" customFormat="false" ht="22.05" hidden="false" customHeight="false" outlineLevel="0" collapsed="false">
      <c r="A36" s="1" t="s">
        <v>25</v>
      </c>
      <c r="B36" s="8"/>
      <c r="C36" s="1" t="n">
        <v>32</v>
      </c>
      <c r="D36" s="1" t="n">
        <v>30</v>
      </c>
      <c r="E36" s="1" t="n">
        <v>31</v>
      </c>
      <c r="F36" s="1" t="n">
        <v>33</v>
      </c>
      <c r="G36" s="11" t="n">
        <f aca="false">AVERAGE(B36:F36)</f>
        <v>31.5</v>
      </c>
      <c r="H36" s="11" t="n">
        <f aca="false">STDEV(B36:F36)/SQRT(5)</f>
        <v>0.577350269189626</v>
      </c>
      <c r="I36" s="7" t="n">
        <f aca="false">G36/$G$31</f>
        <v>1.05</v>
      </c>
      <c r="J36" s="7" t="n">
        <f aca="false">H36/$G$31</f>
        <v>0.0192450089729875</v>
      </c>
    </row>
  </sheetData>
  <mergeCells count="4">
    <mergeCell ref="A1:P1"/>
    <mergeCell ref="A11:D11"/>
    <mergeCell ref="A20:F20"/>
    <mergeCell ref="A29:F29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A10" colorId="64" zoomScale="90" zoomScaleNormal="90" zoomScalePageLayoutView="100" workbookViewId="0">
      <selection pane="topLeft" activeCell="H23" activeCellId="0" sqref="H23"/>
    </sheetView>
  </sheetViews>
  <sheetFormatPr defaultColWidth="11.53515625" defaultRowHeight="22.05" customHeight="true" zeroHeight="false" outlineLevelRow="0" outlineLevelCol="0"/>
  <cols>
    <col collapsed="false" customWidth="true" hidden="false" outlineLevel="0" max="1" min="1" style="1" width="27.45"/>
    <col collapsed="false" customWidth="true" hidden="false" outlineLevel="0" max="6" min="2" style="1" width="14.15"/>
    <col collapsed="false" customWidth="true" hidden="false" outlineLevel="0" max="7" min="7" style="1" width="35.24"/>
    <col collapsed="false" customWidth="true" hidden="false" outlineLevel="0" max="8" min="8" style="1" width="34.1"/>
    <col collapsed="false" customWidth="true" hidden="false" outlineLevel="0" max="9" min="9" style="1" width="30.39"/>
    <col collapsed="false" customWidth="true" hidden="false" outlineLevel="0" max="10" min="10" style="1" width="34.93"/>
    <col collapsed="false" customWidth="true" hidden="false" outlineLevel="0" max="11" min="11" style="1" width="30.6"/>
    <col collapsed="false" customWidth="true" hidden="false" outlineLevel="0" max="16" min="12" style="1" width="16.01"/>
    <col collapsed="false" customWidth="true" hidden="false" outlineLevel="0" max="17" min="17" style="1" width="14.93"/>
    <col collapsed="false" customWidth="true" hidden="false" outlineLevel="0" max="18" min="18" style="1" width="10.13"/>
    <col collapsed="false" customWidth="true" hidden="false" outlineLevel="0" max="19" min="19" style="1" width="34.1"/>
    <col collapsed="false" customWidth="true" hidden="false" outlineLevel="0" max="20" min="20" style="1" width="29.31"/>
    <col collapsed="false" customWidth="false" hidden="false" outlineLevel="0" max="16384" min="21" style="1" width="11.53"/>
  </cols>
  <sheetData>
    <row r="1" customFormat="false" ht="22.0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2.05" hidden="false" customHeight="false" outlineLevel="0" collapsed="false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3" t="s">
        <v>16</v>
      </c>
      <c r="R2" s="3" t="s">
        <v>17</v>
      </c>
      <c r="S2" s="4" t="s">
        <v>18</v>
      </c>
      <c r="T2" s="4" t="s">
        <v>19</v>
      </c>
    </row>
    <row r="3" customFormat="false" ht="22.05" hidden="false" customHeight="false" outlineLevel="0" collapsed="false">
      <c r="A3" s="1" t="s">
        <v>20</v>
      </c>
      <c r="B3" s="1" t="n">
        <v>24</v>
      </c>
      <c r="C3" s="1" t="n">
        <v>41</v>
      </c>
      <c r="D3" s="1" t="n">
        <v>38</v>
      </c>
      <c r="E3" s="1" t="n">
        <v>40</v>
      </c>
      <c r="F3" s="5" t="n">
        <v>39</v>
      </c>
      <c r="G3" s="5" t="n">
        <v>35</v>
      </c>
      <c r="H3" s="5" t="n">
        <v>33</v>
      </c>
      <c r="I3" s="5" t="n">
        <v>34</v>
      </c>
      <c r="J3" s="5" t="n">
        <v>30</v>
      </c>
      <c r="K3" s="5" t="n">
        <v>38</v>
      </c>
      <c r="L3" s="5" t="n">
        <v>18</v>
      </c>
      <c r="M3" s="5" t="n">
        <v>41</v>
      </c>
      <c r="N3" s="5" t="n">
        <v>36</v>
      </c>
      <c r="O3" s="5" t="n">
        <v>30</v>
      </c>
      <c r="P3" s="5" t="n">
        <v>23</v>
      </c>
      <c r="Q3" s="6" t="n">
        <f aca="false">AVERAGE(B3:P3)</f>
        <v>33.3333333333333</v>
      </c>
      <c r="R3" s="6" t="n">
        <f aca="false">STDEV(B3:P3)/SQRT(15)</f>
        <v>1.82487225036678</v>
      </c>
      <c r="S3" s="7" t="n">
        <f aca="false">Q3/$Q$3</f>
        <v>1</v>
      </c>
      <c r="T3" s="7" t="n">
        <f aca="false">R3/$Q$3</f>
        <v>0.0547461675110035</v>
      </c>
    </row>
    <row r="4" customFormat="false" ht="22.05" hidden="false" customHeight="false" outlineLevel="0" collapsed="false">
      <c r="A4" s="1" t="s">
        <v>21</v>
      </c>
      <c r="B4" s="1" t="n">
        <v>23</v>
      </c>
      <c r="C4" s="1" t="n">
        <v>44</v>
      </c>
      <c r="D4" s="1" t="n">
        <v>30</v>
      </c>
      <c r="E4" s="1" t="n">
        <v>24</v>
      </c>
      <c r="F4" s="5" t="n">
        <v>36</v>
      </c>
      <c r="G4" s="5" t="n">
        <v>29</v>
      </c>
      <c r="H4" s="5" t="n">
        <v>29</v>
      </c>
      <c r="I4" s="5" t="n">
        <v>32</v>
      </c>
      <c r="J4" s="5" t="n">
        <v>34</v>
      </c>
      <c r="K4" s="5" t="n">
        <v>29</v>
      </c>
      <c r="L4" s="5" t="n">
        <v>25</v>
      </c>
      <c r="M4" s="5" t="n">
        <v>40</v>
      </c>
      <c r="N4" s="5" t="n">
        <v>34</v>
      </c>
      <c r="O4" s="5" t="n">
        <v>28</v>
      </c>
      <c r="P4" s="5" t="n">
        <v>27</v>
      </c>
      <c r="Q4" s="6" t="n">
        <f aca="false">AVERAGE(B4:P4)</f>
        <v>30.9333333333333</v>
      </c>
      <c r="R4" s="6" t="n">
        <f aca="false">STDEV(B4:P4)/SQRT(15)</f>
        <v>1.51332704005404</v>
      </c>
      <c r="S4" s="7" t="n">
        <f aca="false">Q4/$Q$3</f>
        <v>0.928</v>
      </c>
      <c r="T4" s="7" t="n">
        <f aca="false">R4/$Q$3</f>
        <v>0.0453998112016213</v>
      </c>
    </row>
    <row r="5" customFormat="false" ht="22.05" hidden="false" customHeight="false" outlineLevel="0" collapsed="false">
      <c r="A5" s="1" t="s">
        <v>22</v>
      </c>
      <c r="B5" s="1" t="n">
        <v>34</v>
      </c>
      <c r="C5" s="1" t="n">
        <v>32</v>
      </c>
      <c r="D5" s="1" t="n">
        <v>24</v>
      </c>
      <c r="E5" s="1" t="n">
        <v>21</v>
      </c>
      <c r="F5" s="5" t="n">
        <v>40</v>
      </c>
      <c r="G5" s="5" t="n">
        <v>28</v>
      </c>
      <c r="H5" s="5" t="n">
        <v>27</v>
      </c>
      <c r="I5" s="5" t="n">
        <v>30</v>
      </c>
      <c r="J5" s="5" t="n">
        <v>24</v>
      </c>
      <c r="K5" s="5" t="n">
        <v>29</v>
      </c>
      <c r="L5" s="5" t="n">
        <v>26</v>
      </c>
      <c r="M5" s="5" t="n">
        <v>37</v>
      </c>
      <c r="N5" s="5" t="n">
        <v>33</v>
      </c>
      <c r="O5" s="5" t="n">
        <v>28</v>
      </c>
      <c r="P5" s="5" t="n">
        <v>28</v>
      </c>
      <c r="Q5" s="6" t="n">
        <f aca="false">AVERAGE(B5:P5)</f>
        <v>29.4</v>
      </c>
      <c r="R5" s="6" t="n">
        <f aca="false">STDEV(B5:P5)/SQRT(15)</f>
        <v>1.31583759310508</v>
      </c>
      <c r="S5" s="7" t="n">
        <f aca="false">Q5/$Q$3</f>
        <v>0.882</v>
      </c>
      <c r="T5" s="7" t="n">
        <f aca="false">R5/$Q$3</f>
        <v>0.0394751277931524</v>
      </c>
    </row>
    <row r="6" customFormat="false" ht="22.05" hidden="false" customHeight="false" outlineLevel="0" collapsed="false">
      <c r="A6" s="1" t="s">
        <v>23</v>
      </c>
      <c r="B6" s="1" t="n">
        <v>33</v>
      </c>
      <c r="C6" s="1" t="n">
        <v>26</v>
      </c>
      <c r="D6" s="1" t="n">
        <v>22</v>
      </c>
      <c r="E6" s="1" t="n">
        <v>31</v>
      </c>
      <c r="F6" s="5" t="n">
        <v>31</v>
      </c>
      <c r="G6" s="5" t="n">
        <v>20</v>
      </c>
      <c r="H6" s="5" t="n">
        <v>16</v>
      </c>
      <c r="I6" s="5" t="n">
        <v>20</v>
      </c>
      <c r="J6" s="5" t="n">
        <v>24</v>
      </c>
      <c r="K6" s="5" t="n">
        <v>25</v>
      </c>
      <c r="L6" s="5" t="n">
        <v>26</v>
      </c>
      <c r="M6" s="5" t="n">
        <v>35</v>
      </c>
      <c r="N6" s="5" t="n">
        <v>30</v>
      </c>
      <c r="O6" s="5" t="n">
        <v>26</v>
      </c>
      <c r="P6" s="5" t="n">
        <v>29</v>
      </c>
      <c r="Q6" s="6" t="n">
        <f aca="false">AVERAGE(B6:P6)</f>
        <v>26.2666666666667</v>
      </c>
      <c r="R6" s="6" t="n">
        <f aca="false">STDEV(B6:P6)/SQRT(15)</f>
        <v>1.3748304368753</v>
      </c>
      <c r="S6" s="7" t="n">
        <f aca="false">Q6/$Q$3</f>
        <v>0.788</v>
      </c>
      <c r="T6" s="7" t="n">
        <f aca="false">R6/$Q$3</f>
        <v>0.041244913106259</v>
      </c>
    </row>
    <row r="7" customFormat="false" ht="22.05" hidden="false" customHeight="false" outlineLevel="0" collapsed="false">
      <c r="A7" s="1" t="s">
        <v>24</v>
      </c>
      <c r="B7" s="5" t="n">
        <v>34</v>
      </c>
      <c r="C7" s="5" t="n">
        <v>21</v>
      </c>
      <c r="D7" s="1" t="n">
        <v>17</v>
      </c>
      <c r="E7" s="1" t="n">
        <v>37</v>
      </c>
      <c r="F7" s="5" t="n">
        <v>24</v>
      </c>
      <c r="G7" s="5" t="n">
        <v>20</v>
      </c>
      <c r="H7" s="8"/>
      <c r="I7" s="5" t="n">
        <v>21</v>
      </c>
      <c r="J7" s="5" t="n">
        <v>28</v>
      </c>
      <c r="K7" s="5" t="n">
        <v>23</v>
      </c>
      <c r="L7" s="5" t="n">
        <v>22</v>
      </c>
      <c r="M7" s="5" t="n">
        <v>27</v>
      </c>
      <c r="N7" s="5" t="n">
        <v>26</v>
      </c>
      <c r="O7" s="5" t="n">
        <v>26</v>
      </c>
      <c r="P7" s="5" t="n">
        <v>23</v>
      </c>
      <c r="Q7" s="6" t="n">
        <f aca="false">AVERAGE(B7:P7)</f>
        <v>24.9285714285714</v>
      </c>
      <c r="R7" s="6" t="n">
        <f aca="false">STDEV(B7:P7)/SQRT(15)</f>
        <v>1.39399549612739</v>
      </c>
      <c r="S7" s="7" t="n">
        <f aca="false">Q7/$Q$3</f>
        <v>0.747857142857143</v>
      </c>
      <c r="T7" s="7" t="n">
        <f aca="false">R7/$Q$3</f>
        <v>0.0418198648838216</v>
      </c>
    </row>
    <row r="8" customFormat="false" ht="22.05" hidden="false" customHeight="false" outlineLevel="0" collapsed="false">
      <c r="A8" s="1" t="s">
        <v>25</v>
      </c>
      <c r="B8" s="8"/>
      <c r="C8" s="5" t="n">
        <v>18</v>
      </c>
      <c r="D8" s="1" t="n">
        <v>18</v>
      </c>
      <c r="E8" s="1" t="n">
        <v>15</v>
      </c>
      <c r="F8" s="8"/>
      <c r="G8" s="8"/>
      <c r="H8" s="8"/>
      <c r="I8" s="8"/>
      <c r="J8" s="8"/>
      <c r="K8" s="5" t="n">
        <v>12</v>
      </c>
      <c r="L8" s="5" t="n">
        <v>16</v>
      </c>
      <c r="M8" s="5" t="n">
        <v>30</v>
      </c>
      <c r="N8" s="5" t="n">
        <v>18</v>
      </c>
      <c r="O8" s="8"/>
      <c r="P8" s="8"/>
      <c r="Q8" s="6" t="n">
        <f aca="false">AVERAGE(B8:P8)</f>
        <v>18.1428571428571</v>
      </c>
      <c r="R8" s="6" t="n">
        <f aca="false">STDEV(B8:P8)/SQRT(15)</f>
        <v>1.4638501094228</v>
      </c>
      <c r="S8" s="7" t="n">
        <f aca="false">Q8/$Q$3</f>
        <v>0.544285714285714</v>
      </c>
      <c r="T8" s="7" t="n">
        <f aca="false">R8/$Q$3</f>
        <v>0.043915503282684</v>
      </c>
    </row>
    <row r="9" customFormat="false" ht="22.05" hidden="false" customHeight="false" outlineLevel="0" collapsed="false">
      <c r="R9" s="0"/>
      <c r="S9" s="0"/>
      <c r="T9" s="0"/>
    </row>
    <row r="10" customFormat="false" ht="22.05" hidden="false" customHeight="false" outlineLevel="0" collapsed="false">
      <c r="A10" s="2" t="s">
        <v>33</v>
      </c>
      <c r="B10" s="2"/>
      <c r="C10" s="2"/>
      <c r="D10" s="2"/>
    </row>
    <row r="11" customFormat="false" ht="22.05" hidden="false" customHeight="false" outlineLevel="0" collapsed="false">
      <c r="B11" s="1" t="s">
        <v>1</v>
      </c>
      <c r="C11" s="1" t="s">
        <v>2</v>
      </c>
      <c r="D11" s="1" t="s">
        <v>3</v>
      </c>
      <c r="E11" s="1" t="s">
        <v>4</v>
      </c>
      <c r="F11" s="10" t="s">
        <v>16</v>
      </c>
      <c r="G11" s="10" t="s">
        <v>17</v>
      </c>
      <c r="H11" s="4" t="s">
        <v>18</v>
      </c>
      <c r="I11" s="4" t="s">
        <v>19</v>
      </c>
    </row>
    <row r="12" customFormat="false" ht="22.05" hidden="false" customHeight="false" outlineLevel="0" collapsed="false">
      <c r="A12" s="1" t="s">
        <v>20</v>
      </c>
      <c r="B12" s="5" t="n">
        <v>20</v>
      </c>
      <c r="C12" s="1" t="n">
        <v>29</v>
      </c>
      <c r="D12" s="1" t="n">
        <v>29</v>
      </c>
      <c r="E12" s="5" t="n">
        <v>56</v>
      </c>
      <c r="F12" s="11" t="n">
        <f aca="false">AVERAGE(B12:E12)</f>
        <v>33.5</v>
      </c>
      <c r="G12" s="11" t="n">
        <f aca="false">STDEV(B12:E12)/SQRT(4)</f>
        <v>7.79422863405995</v>
      </c>
      <c r="H12" s="7" t="n">
        <f aca="false">F12/$F$12</f>
        <v>1</v>
      </c>
      <c r="I12" s="7" t="n">
        <f aca="false">G12/$F$12</f>
        <v>0.232663541315222</v>
      </c>
    </row>
    <row r="13" customFormat="false" ht="22.05" hidden="false" customHeight="false" outlineLevel="0" collapsed="false">
      <c r="A13" s="1" t="s">
        <v>21</v>
      </c>
      <c r="B13" s="5" t="n">
        <v>31</v>
      </c>
      <c r="C13" s="1" t="n">
        <v>29</v>
      </c>
      <c r="D13" s="1" t="n">
        <v>21</v>
      </c>
      <c r="E13" s="5" t="n">
        <v>41</v>
      </c>
      <c r="F13" s="11" t="n">
        <f aca="false">AVERAGE(B13:E13)</f>
        <v>30.5</v>
      </c>
      <c r="G13" s="11" t="n">
        <f aca="false">STDEV(B13:E13)/SQRT(4)</f>
        <v>4.11298755975102</v>
      </c>
      <c r="H13" s="7" t="n">
        <f aca="false">F13/$F$12</f>
        <v>0.91044776119403</v>
      </c>
      <c r="I13" s="7" t="n">
        <f aca="false">G13/$F$12</f>
        <v>0.122775748052269</v>
      </c>
    </row>
    <row r="14" customFormat="false" ht="22.05" hidden="false" customHeight="false" outlineLevel="0" collapsed="false">
      <c r="A14" s="1" t="s">
        <v>22</v>
      </c>
      <c r="B14" s="5" t="n">
        <v>31</v>
      </c>
      <c r="C14" s="1" t="n">
        <v>25</v>
      </c>
      <c r="D14" s="1" t="n">
        <v>21</v>
      </c>
      <c r="E14" s="12"/>
      <c r="F14" s="11" t="n">
        <f aca="false">AVERAGE(B14:E14)</f>
        <v>25.6666666666667</v>
      </c>
      <c r="G14" s="11" t="n">
        <f aca="false">STDEV(B14:E14)/SQRT(4)</f>
        <v>2.51661147842358</v>
      </c>
      <c r="H14" s="7" t="n">
        <f aca="false">F14/$F$12</f>
        <v>0.766169154228856</v>
      </c>
      <c r="I14" s="7" t="n">
        <f aca="false">G14/$F$12</f>
        <v>0.0751227306992115</v>
      </c>
    </row>
    <row r="15" customFormat="false" ht="22.05" hidden="false" customHeight="false" outlineLevel="0" collapsed="false">
      <c r="A15" s="1" t="s">
        <v>23</v>
      </c>
      <c r="B15" s="5" t="n">
        <v>29</v>
      </c>
      <c r="C15" s="1" t="n">
        <v>25</v>
      </c>
      <c r="D15" s="1" t="n">
        <v>28</v>
      </c>
      <c r="E15" s="12"/>
      <c r="F15" s="11" t="n">
        <f aca="false">AVERAGE(B15:E15)</f>
        <v>27.3333333333333</v>
      </c>
      <c r="G15" s="11" t="n">
        <f aca="false">STDEV(B15:E15)/SQRT(4)</f>
        <v>1.04083299973307</v>
      </c>
      <c r="H15" s="7" t="n">
        <f aca="false">F15/$F$12</f>
        <v>0.81592039800995</v>
      </c>
      <c r="I15" s="7" t="n">
        <f aca="false">G15/$F$12</f>
        <v>0.0310696417830766</v>
      </c>
    </row>
    <row r="16" customFormat="false" ht="22.05" hidden="false" customHeight="false" outlineLevel="0" collapsed="false">
      <c r="A16" s="1" t="s">
        <v>24</v>
      </c>
      <c r="B16" s="5" t="n">
        <v>29</v>
      </c>
      <c r="C16" s="1" t="n">
        <v>18</v>
      </c>
      <c r="D16" s="1" t="n">
        <v>24</v>
      </c>
      <c r="E16" s="12"/>
      <c r="F16" s="11" t="n">
        <f aca="false">AVERAGE(B16:E16)</f>
        <v>23.6666666666667</v>
      </c>
      <c r="G16" s="11" t="n">
        <f aca="false">STDEV(B16:E16)/SQRT(4)</f>
        <v>2.75378527364305</v>
      </c>
      <c r="H16" s="7" t="n">
        <f aca="false">F16/$F$12</f>
        <v>0.706467661691542</v>
      </c>
      <c r="I16" s="7" t="n">
        <f aca="false">G16/$F$12</f>
        <v>0.0822025454818821</v>
      </c>
    </row>
    <row r="17" customFormat="false" ht="22.05" hidden="false" customHeight="false" outlineLevel="0" collapsed="false">
      <c r="A17" s="1" t="s">
        <v>25</v>
      </c>
      <c r="B17" s="8"/>
      <c r="C17" s="8"/>
      <c r="D17" s="8"/>
      <c r="E17" s="8"/>
      <c r="F17" s="11" t="e">
        <f aca="false">AVERAGE(B17:E17)</f>
        <v>#DIV/0!</v>
      </c>
      <c r="G17" s="11" t="e">
        <f aca="false">STDEV(B17:E17)/SQRT(4)</f>
        <v>#DIV/0!</v>
      </c>
      <c r="H17" s="7" t="e">
        <f aca="false">F17/$F$12</f>
        <v>#DIV/0!</v>
      </c>
      <c r="I17" s="7" t="e">
        <f aca="false">G17/$F$12</f>
        <v>#DIV/0!</v>
      </c>
    </row>
    <row r="20" customFormat="false" ht="22.05" hidden="false" customHeight="false" outlineLevel="0" collapsed="false">
      <c r="A20" s="2" t="s">
        <v>34</v>
      </c>
      <c r="B20" s="2"/>
      <c r="C20" s="2"/>
      <c r="D20" s="2"/>
    </row>
    <row r="21" customFormat="false" ht="22.05" hidden="false" customHeight="false" outlineLevel="0" collapsed="false">
      <c r="B21" s="1" t="s">
        <v>1</v>
      </c>
      <c r="C21" s="1" t="s">
        <v>2</v>
      </c>
      <c r="D21" s="1" t="s">
        <v>3</v>
      </c>
      <c r="E21" s="10" t="s">
        <v>16</v>
      </c>
      <c r="F21" s="10" t="s">
        <v>17</v>
      </c>
      <c r="G21" s="4" t="s">
        <v>18</v>
      </c>
      <c r="H21" s="4" t="s">
        <v>19</v>
      </c>
    </row>
    <row r="22" customFormat="false" ht="22.05" hidden="false" customHeight="false" outlineLevel="0" collapsed="false">
      <c r="A22" s="1" t="s">
        <v>20</v>
      </c>
      <c r="B22" s="5" t="n">
        <v>29</v>
      </c>
      <c r="C22" s="1" t="n">
        <v>24</v>
      </c>
      <c r="D22" s="1" t="n">
        <v>26</v>
      </c>
      <c r="E22" s="11" t="n">
        <f aca="false">AVERAGE(B22:D22)</f>
        <v>26.3333333333333</v>
      </c>
      <c r="F22" s="1" t="n">
        <f aca="false">STDEV(B22:D22)/SQRT(3)</f>
        <v>1.45296631451356</v>
      </c>
      <c r="G22" s="7" t="n">
        <f aca="false">E22/$E$22</f>
        <v>1</v>
      </c>
      <c r="H22" s="7" t="n">
        <f aca="false">F22/$E$22</f>
        <v>0.0551759359941858</v>
      </c>
    </row>
    <row r="23" customFormat="false" ht="22.05" hidden="false" customHeight="false" outlineLevel="0" collapsed="false">
      <c r="A23" s="1" t="s">
        <v>21</v>
      </c>
      <c r="B23" s="5" t="n">
        <v>23</v>
      </c>
      <c r="C23" s="5" t="n">
        <v>32</v>
      </c>
      <c r="D23" s="1" t="n">
        <v>31</v>
      </c>
      <c r="E23" s="11" t="n">
        <f aca="false">AVERAGE(B23:D23)</f>
        <v>28.6666666666667</v>
      </c>
      <c r="F23" s="1" t="n">
        <f aca="false">STDEV(B23:D23)/SQRT(3)</f>
        <v>2.84800124843918</v>
      </c>
      <c r="G23" s="7" t="n">
        <f aca="false">E23/$E$22</f>
        <v>1.08860759493671</v>
      </c>
      <c r="H23" s="7" t="n">
        <f aca="false">F23/$E$22</f>
        <v>0.10815194614326</v>
      </c>
    </row>
    <row r="24" customFormat="false" ht="22.05" hidden="false" customHeight="false" outlineLevel="0" collapsed="false">
      <c r="A24" s="1" t="s">
        <v>22</v>
      </c>
      <c r="B24" s="5" t="n">
        <v>33</v>
      </c>
      <c r="C24" s="5" t="n">
        <v>20</v>
      </c>
      <c r="D24" s="1" t="n">
        <v>23</v>
      </c>
      <c r="E24" s="11" t="n">
        <f aca="false">AVERAGE(B24:D24)</f>
        <v>25.3333333333333</v>
      </c>
      <c r="F24" s="1" t="n">
        <f aca="false">STDEV(B24:D24)/SQRT(3)</f>
        <v>3.92994204085053</v>
      </c>
      <c r="G24" s="7" t="n">
        <f aca="false">E24/$E$22</f>
        <v>0.962025316455696</v>
      </c>
      <c r="H24" s="7" t="n">
        <f aca="false">F24/$E$22</f>
        <v>0.149238305348754</v>
      </c>
    </row>
    <row r="25" customFormat="false" ht="22.05" hidden="false" customHeight="false" outlineLevel="0" collapsed="false">
      <c r="A25" s="1" t="s">
        <v>23</v>
      </c>
      <c r="B25" s="5" t="n">
        <v>27</v>
      </c>
      <c r="C25" s="5" t="n">
        <v>22</v>
      </c>
      <c r="D25" s="1" t="n">
        <v>28</v>
      </c>
      <c r="E25" s="11" t="n">
        <f aca="false">AVERAGE(B25:D25)</f>
        <v>25.6666666666667</v>
      </c>
      <c r="F25" s="1" t="n">
        <f aca="false">STDEV(B25:D25)/SQRT(3)</f>
        <v>1.85592145427667</v>
      </c>
      <c r="G25" s="7" t="n">
        <f aca="false">E25/$E$22</f>
        <v>0.974683544303798</v>
      </c>
      <c r="H25" s="7" t="n">
        <f aca="false">F25/$E$22</f>
        <v>0.0704780299092408</v>
      </c>
    </row>
    <row r="26" customFormat="false" ht="22.05" hidden="false" customHeight="false" outlineLevel="0" collapsed="false">
      <c r="A26" s="1" t="s">
        <v>24</v>
      </c>
      <c r="B26" s="5" t="n">
        <v>25</v>
      </c>
      <c r="C26" s="5" t="n">
        <v>24</v>
      </c>
      <c r="D26" s="1" t="n">
        <v>22</v>
      </c>
      <c r="E26" s="11" t="n">
        <f aca="false">AVERAGE(B26:D26)</f>
        <v>23.6666666666667</v>
      </c>
      <c r="F26" s="1" t="n">
        <f aca="false">STDEV(B26:D26)/SQRT(3)</f>
        <v>0.881917103688197</v>
      </c>
      <c r="G26" s="7" t="n">
        <f aca="false">E26/$E$22</f>
        <v>0.89873417721519</v>
      </c>
      <c r="H26" s="7" t="n">
        <f aca="false">F26/$E$22</f>
        <v>0.0334905229248682</v>
      </c>
    </row>
    <row r="27" customFormat="false" ht="22.05" hidden="false" customHeight="false" outlineLevel="0" collapsed="false">
      <c r="A27" s="1" t="s">
        <v>25</v>
      </c>
      <c r="B27" s="8"/>
      <c r="C27" s="8"/>
      <c r="D27" s="8"/>
      <c r="E27" s="11" t="e">
        <f aca="false">AVERAGE(B27:D27)</f>
        <v>#DIV/0!</v>
      </c>
      <c r="F27" s="1" t="e">
        <f aca="false">STDEV(B27:D27)/SQRT(3)</f>
        <v>#DIV/0!</v>
      </c>
      <c r="G27" s="7" t="e">
        <f aca="false">E27/$E$22</f>
        <v>#DIV/0!</v>
      </c>
      <c r="H27" s="7" t="e">
        <f aca="false">F27/$E$22</f>
        <v>#DIV/0!</v>
      </c>
    </row>
    <row r="30" customFormat="false" ht="22.05" hidden="false" customHeight="false" outlineLevel="0" collapsed="false">
      <c r="A30" s="2" t="s">
        <v>35</v>
      </c>
      <c r="B30" s="2"/>
      <c r="C30" s="2"/>
      <c r="D30" s="2"/>
      <c r="E30" s="2"/>
      <c r="F30" s="2"/>
    </row>
    <row r="31" customFormat="false" ht="22.05" hidden="false" customHeight="false" outlineLevel="0" collapsed="false"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0" t="s">
        <v>16</v>
      </c>
      <c r="I31" s="10" t="s">
        <v>17</v>
      </c>
      <c r="J31" s="4" t="s">
        <v>18</v>
      </c>
      <c r="K31" s="4" t="s">
        <v>19</v>
      </c>
    </row>
    <row r="32" customFormat="false" ht="22.05" hidden="false" customHeight="false" outlineLevel="0" collapsed="false">
      <c r="A32" s="1" t="s">
        <v>20</v>
      </c>
      <c r="B32" s="5" t="n">
        <v>30</v>
      </c>
      <c r="C32" s="1" t="n">
        <v>29</v>
      </c>
      <c r="D32" s="5" t="n">
        <v>39</v>
      </c>
      <c r="E32" s="5" t="n">
        <v>31</v>
      </c>
      <c r="F32" s="5" t="n">
        <v>37</v>
      </c>
      <c r="G32" s="5" t="n">
        <v>24</v>
      </c>
      <c r="H32" s="11" t="n">
        <f aca="false">AVERAGE(B32:G32)</f>
        <v>31.6666666666667</v>
      </c>
      <c r="I32" s="1" t="n">
        <f aca="false">STDEV(B32:G32)/SQRT(6)</f>
        <v>2.24598407038974</v>
      </c>
      <c r="J32" s="7" t="n">
        <f aca="false">H32/$H$32</f>
        <v>1</v>
      </c>
      <c r="K32" s="7" t="n">
        <f aca="false">I32/$H$32</f>
        <v>0.0709258127491495</v>
      </c>
    </row>
    <row r="33" customFormat="false" ht="22.05" hidden="false" customHeight="false" outlineLevel="0" collapsed="false">
      <c r="A33" s="1" t="s">
        <v>21</v>
      </c>
      <c r="B33" s="5" t="n">
        <v>28</v>
      </c>
      <c r="C33" s="1" t="n">
        <v>22</v>
      </c>
      <c r="D33" s="5" t="n">
        <v>43</v>
      </c>
      <c r="E33" s="5" t="n">
        <v>31</v>
      </c>
      <c r="F33" s="5" t="n">
        <v>27</v>
      </c>
      <c r="G33" s="5" t="n">
        <v>26</v>
      </c>
      <c r="H33" s="11" t="n">
        <f aca="false">AVERAGE(B33:G33)</f>
        <v>29.5</v>
      </c>
      <c r="I33" s="1" t="n">
        <f aca="false">STDEV(B33:G33)/SQRT(6)</f>
        <v>2.95240015354739</v>
      </c>
      <c r="J33" s="7" t="n">
        <f aca="false">H33/$H$32</f>
        <v>0.931578947368421</v>
      </c>
      <c r="K33" s="7" t="n">
        <f aca="false">I33/$H$32</f>
        <v>0.0932336890593914</v>
      </c>
    </row>
    <row r="34" customFormat="false" ht="22.05" hidden="false" customHeight="false" outlineLevel="0" collapsed="false">
      <c r="A34" s="1" t="s">
        <v>22</v>
      </c>
      <c r="B34" s="5" t="n">
        <v>24</v>
      </c>
      <c r="C34" s="1" t="n">
        <v>32</v>
      </c>
      <c r="D34" s="5" t="n">
        <v>44</v>
      </c>
      <c r="E34" s="5" t="n">
        <v>32</v>
      </c>
      <c r="F34" s="5" t="n">
        <v>24</v>
      </c>
      <c r="G34" s="5" t="n">
        <v>28</v>
      </c>
      <c r="H34" s="11" t="n">
        <f aca="false">AVERAGE(B34:G34)</f>
        <v>30.6666666666667</v>
      </c>
      <c r="I34" s="1" t="n">
        <f aca="false">STDEV(B34:G34)/SQRT(6)</f>
        <v>3.04046780026437</v>
      </c>
      <c r="J34" s="7" t="n">
        <f aca="false">H34/$H$32</f>
        <v>0.968421052631579</v>
      </c>
      <c r="K34" s="7" t="n">
        <f aca="false">I34/$H$32</f>
        <v>0.0960147726399274</v>
      </c>
    </row>
    <row r="35" customFormat="false" ht="22.05" hidden="false" customHeight="false" outlineLevel="0" collapsed="false">
      <c r="A35" s="1" t="s">
        <v>23</v>
      </c>
      <c r="B35" s="5" t="n">
        <v>24</v>
      </c>
      <c r="C35" s="1" t="n">
        <v>28</v>
      </c>
      <c r="D35" s="5" t="n">
        <v>37</v>
      </c>
      <c r="E35" s="5" t="n">
        <v>33</v>
      </c>
      <c r="F35" s="5" t="n">
        <v>31</v>
      </c>
      <c r="G35" s="5" t="n">
        <v>23</v>
      </c>
      <c r="H35" s="11" t="n">
        <f aca="false">AVERAGE(B35:G35)</f>
        <v>29.3333333333333</v>
      </c>
      <c r="I35" s="1" t="n">
        <f aca="false">STDEV(B35:G35)/SQRT(6)</f>
        <v>2.20100986922922</v>
      </c>
      <c r="J35" s="7" t="n">
        <f aca="false">H35/$H$32</f>
        <v>0.926315789473684</v>
      </c>
      <c r="K35" s="7" t="n">
        <f aca="false">I35/$H$32</f>
        <v>0.069505574817765</v>
      </c>
    </row>
    <row r="36" customFormat="false" ht="22.05" hidden="false" customHeight="false" outlineLevel="0" collapsed="false">
      <c r="A36" s="1" t="s">
        <v>24</v>
      </c>
      <c r="B36" s="5" t="n">
        <v>24</v>
      </c>
      <c r="C36" s="1" t="n">
        <v>22</v>
      </c>
      <c r="D36" s="8"/>
      <c r="E36" s="8"/>
      <c r="F36" s="5" t="n">
        <v>20</v>
      </c>
      <c r="G36" s="5" t="n">
        <v>30</v>
      </c>
      <c r="H36" s="11" t="n">
        <f aca="false">AVERAGE(B36:G36)</f>
        <v>24</v>
      </c>
      <c r="I36" s="1" t="n">
        <f aca="false">STDEV(B36:G36)/SQRT(6)</f>
        <v>1.76383420737639</v>
      </c>
      <c r="J36" s="7" t="n">
        <f aca="false">H36/$H$32</f>
        <v>0.757894736842105</v>
      </c>
      <c r="K36" s="7" t="n">
        <f aca="false">I36/$H$32</f>
        <v>0.0557000276013598</v>
      </c>
    </row>
    <row r="37" customFormat="false" ht="22.05" hidden="false" customHeight="false" outlineLevel="0" collapsed="false">
      <c r="A37" s="1" t="s">
        <v>25</v>
      </c>
      <c r="B37" s="8"/>
      <c r="C37" s="8"/>
      <c r="D37" s="8"/>
      <c r="E37" s="8"/>
      <c r="F37" s="8"/>
      <c r="G37" s="8"/>
      <c r="H37" s="11" t="e">
        <f aca="false">AVERAGE(B37:G37)</f>
        <v>#DIV/0!</v>
      </c>
      <c r="I37" s="1" t="e">
        <f aca="false">STDEV(B37:G37)/SQRT(6)</f>
        <v>#DIV/0!</v>
      </c>
      <c r="J37" s="7" t="e">
        <f aca="false">H37/$H$32</f>
        <v>#DIV/0!</v>
      </c>
      <c r="K37" s="7" t="e">
        <f aca="false">I37/$H$32</f>
        <v>#DIV/0!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">
    <mergeCell ref="A1:P1"/>
    <mergeCell ref="A10:D10"/>
    <mergeCell ref="A20:D20"/>
    <mergeCell ref="A30:F30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N37" activeCellId="0" sqref="N37"/>
    </sheetView>
  </sheetViews>
  <sheetFormatPr defaultColWidth="11.53515625" defaultRowHeight="22.05" customHeight="true" zeroHeight="false" outlineLevelRow="0" outlineLevelCol="0"/>
  <cols>
    <col collapsed="false" customWidth="true" hidden="false" outlineLevel="0" max="1" min="1" style="1" width="27.45"/>
    <col collapsed="false" customWidth="true" hidden="false" outlineLevel="0" max="4" min="2" style="1" width="14.15"/>
    <col collapsed="false" customWidth="true" hidden="false" outlineLevel="0" max="5" min="5" style="1" width="15.14"/>
    <col collapsed="false" customWidth="true" hidden="false" outlineLevel="0" max="6" min="6" style="1" width="14.15"/>
    <col collapsed="false" customWidth="true" hidden="false" outlineLevel="0" max="7" min="7" style="1" width="34.1"/>
    <col collapsed="false" customWidth="true" hidden="false" outlineLevel="0" max="8" min="8" style="1" width="29.31"/>
    <col collapsed="false" customWidth="true" hidden="false" outlineLevel="0" max="9" min="9" style="1" width="14.15"/>
    <col collapsed="false" customWidth="true" hidden="false" outlineLevel="0" max="10" min="10" style="1" width="14.93"/>
    <col collapsed="false" customWidth="true" hidden="false" outlineLevel="0" max="11" min="11" style="1" width="16.01"/>
    <col collapsed="false" customWidth="true" hidden="false" outlineLevel="0" max="12" min="12" style="1" width="35.7"/>
    <col collapsed="false" customWidth="true" hidden="false" outlineLevel="0" max="13" min="13" style="1" width="31.84"/>
    <col collapsed="false" customWidth="true" hidden="false" outlineLevel="0" max="16" min="14" style="1" width="16.01"/>
    <col collapsed="false" customWidth="true" hidden="false" outlineLevel="0" max="17" min="17" style="1" width="14.93"/>
    <col collapsed="false" customWidth="true" hidden="false" outlineLevel="0" max="19" min="18" style="1" width="34.1"/>
    <col collapsed="false" customWidth="true" hidden="false" outlineLevel="0" max="20" min="20" style="1" width="29.31"/>
    <col collapsed="false" customWidth="false" hidden="false" outlineLevel="0" max="16384" min="21" style="1" width="11.53"/>
  </cols>
  <sheetData>
    <row r="1" customFormat="false" ht="22.05" hidden="false" customHeight="false" outlineLevel="0" collapsed="false">
      <c r="A1" s="2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2.05" hidden="false" customHeight="false" outlineLevel="0" collapsed="false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3" t="s">
        <v>16</v>
      </c>
      <c r="R2" s="3" t="s">
        <v>17</v>
      </c>
      <c r="S2" s="4" t="s">
        <v>18</v>
      </c>
      <c r="T2" s="4" t="s">
        <v>19</v>
      </c>
    </row>
    <row r="3" customFormat="false" ht="22.05" hidden="false" customHeight="false" outlineLevel="0" collapsed="false">
      <c r="A3" s="1" t="s">
        <v>20</v>
      </c>
      <c r="B3" s="1" t="n">
        <v>24</v>
      </c>
      <c r="C3" s="1" t="n">
        <v>41</v>
      </c>
      <c r="D3" s="1" t="n">
        <v>38</v>
      </c>
      <c r="E3" s="1" t="n">
        <v>40</v>
      </c>
      <c r="F3" s="5" t="n">
        <v>39</v>
      </c>
      <c r="G3" s="5" t="n">
        <v>35</v>
      </c>
      <c r="H3" s="5" t="n">
        <v>33</v>
      </c>
      <c r="I3" s="5" t="n">
        <v>34</v>
      </c>
      <c r="J3" s="5" t="n">
        <v>30</v>
      </c>
      <c r="K3" s="5" t="n">
        <v>38</v>
      </c>
      <c r="L3" s="5" t="n">
        <v>18</v>
      </c>
      <c r="M3" s="5" t="n">
        <v>41</v>
      </c>
      <c r="N3" s="5" t="n">
        <v>36</v>
      </c>
      <c r="O3" s="5" t="n">
        <v>30</v>
      </c>
      <c r="P3" s="5" t="n">
        <v>23</v>
      </c>
      <c r="Q3" s="6" t="n">
        <f aca="false">AVERAGE(B3:P3)</f>
        <v>33.3333333333333</v>
      </c>
      <c r="R3" s="6" t="n">
        <f aca="false">STDEV(B3:P3)/SQRT(15)</f>
        <v>1.82487225036678</v>
      </c>
      <c r="S3" s="7" t="n">
        <f aca="false">Q3/$Q$3</f>
        <v>1</v>
      </c>
      <c r="T3" s="7" t="n">
        <f aca="false">R3/$Q$3</f>
        <v>0.0547461675110035</v>
      </c>
    </row>
    <row r="4" customFormat="false" ht="22.05" hidden="false" customHeight="false" outlineLevel="0" collapsed="false">
      <c r="A4" s="1" t="s">
        <v>21</v>
      </c>
      <c r="B4" s="1" t="n">
        <v>23</v>
      </c>
      <c r="C4" s="1" t="n">
        <v>44</v>
      </c>
      <c r="D4" s="1" t="n">
        <v>30</v>
      </c>
      <c r="E4" s="1" t="n">
        <v>24</v>
      </c>
      <c r="F4" s="5" t="n">
        <v>36</v>
      </c>
      <c r="G4" s="5" t="n">
        <v>29</v>
      </c>
      <c r="H4" s="5" t="n">
        <v>29</v>
      </c>
      <c r="I4" s="5" t="n">
        <v>32</v>
      </c>
      <c r="J4" s="5" t="n">
        <v>34</v>
      </c>
      <c r="K4" s="5" t="n">
        <v>29</v>
      </c>
      <c r="L4" s="5" t="n">
        <v>25</v>
      </c>
      <c r="M4" s="5" t="n">
        <v>40</v>
      </c>
      <c r="N4" s="5" t="n">
        <v>34</v>
      </c>
      <c r="O4" s="5" t="n">
        <v>28</v>
      </c>
      <c r="P4" s="5" t="n">
        <v>27</v>
      </c>
      <c r="Q4" s="6" t="n">
        <f aca="false">AVERAGE(B4:P4)</f>
        <v>30.9333333333333</v>
      </c>
      <c r="R4" s="6" t="n">
        <f aca="false">STDEV(B4:P4)/SQRT(15)</f>
        <v>1.51332704005404</v>
      </c>
      <c r="S4" s="7" t="n">
        <f aca="false">Q4/$Q$3</f>
        <v>0.928</v>
      </c>
      <c r="T4" s="7" t="n">
        <f aca="false">R4/$Q$3</f>
        <v>0.0453998112016213</v>
      </c>
    </row>
    <row r="5" customFormat="false" ht="22.05" hidden="false" customHeight="false" outlineLevel="0" collapsed="false">
      <c r="A5" s="1" t="s">
        <v>22</v>
      </c>
      <c r="B5" s="1" t="n">
        <v>34</v>
      </c>
      <c r="C5" s="1" t="n">
        <v>32</v>
      </c>
      <c r="D5" s="1" t="n">
        <v>24</v>
      </c>
      <c r="E5" s="1" t="n">
        <v>21</v>
      </c>
      <c r="F5" s="5" t="n">
        <v>40</v>
      </c>
      <c r="G5" s="5" t="n">
        <v>28</v>
      </c>
      <c r="H5" s="5" t="n">
        <v>27</v>
      </c>
      <c r="I5" s="5" t="n">
        <v>30</v>
      </c>
      <c r="J5" s="5" t="n">
        <v>24</v>
      </c>
      <c r="K5" s="5" t="n">
        <v>29</v>
      </c>
      <c r="L5" s="5" t="n">
        <v>26</v>
      </c>
      <c r="M5" s="5" t="n">
        <v>37</v>
      </c>
      <c r="N5" s="5" t="n">
        <v>33</v>
      </c>
      <c r="O5" s="5" t="n">
        <v>28</v>
      </c>
      <c r="P5" s="5" t="n">
        <v>28</v>
      </c>
      <c r="Q5" s="6" t="n">
        <f aca="false">AVERAGE(B5:P5)</f>
        <v>29.4</v>
      </c>
      <c r="R5" s="6" t="n">
        <f aca="false">STDEV(B5:P5)/SQRT(15)</f>
        <v>1.31583759310508</v>
      </c>
      <c r="S5" s="7" t="n">
        <f aca="false">Q5/$Q$3</f>
        <v>0.882</v>
      </c>
      <c r="T5" s="7" t="n">
        <f aca="false">R5/$Q$3</f>
        <v>0.0394751277931524</v>
      </c>
    </row>
    <row r="6" customFormat="false" ht="22.05" hidden="false" customHeight="false" outlineLevel="0" collapsed="false">
      <c r="A6" s="1" t="s">
        <v>23</v>
      </c>
      <c r="B6" s="1" t="n">
        <v>33</v>
      </c>
      <c r="C6" s="1" t="n">
        <v>26</v>
      </c>
      <c r="D6" s="1" t="n">
        <v>22</v>
      </c>
      <c r="E6" s="1" t="n">
        <v>31</v>
      </c>
      <c r="F6" s="5" t="n">
        <v>31</v>
      </c>
      <c r="G6" s="5" t="n">
        <v>20</v>
      </c>
      <c r="H6" s="5" t="n">
        <v>16</v>
      </c>
      <c r="I6" s="5" t="n">
        <v>20</v>
      </c>
      <c r="J6" s="5" t="n">
        <v>24</v>
      </c>
      <c r="K6" s="5" t="n">
        <v>25</v>
      </c>
      <c r="L6" s="5" t="n">
        <v>26</v>
      </c>
      <c r="M6" s="5" t="n">
        <v>35</v>
      </c>
      <c r="N6" s="5" t="n">
        <v>30</v>
      </c>
      <c r="O6" s="5" t="n">
        <v>26</v>
      </c>
      <c r="P6" s="5" t="n">
        <v>29</v>
      </c>
      <c r="Q6" s="6" t="n">
        <f aca="false">AVERAGE(B6:P6)</f>
        <v>26.2666666666667</v>
      </c>
      <c r="R6" s="6" t="n">
        <f aca="false">STDEV(B6:P6)/SQRT(15)</f>
        <v>1.3748304368753</v>
      </c>
      <c r="S6" s="7" t="n">
        <f aca="false">Q6/$Q$3</f>
        <v>0.788</v>
      </c>
      <c r="T6" s="7" t="n">
        <f aca="false">R6/$Q$3</f>
        <v>0.041244913106259</v>
      </c>
    </row>
    <row r="7" customFormat="false" ht="22.05" hidden="false" customHeight="false" outlineLevel="0" collapsed="false">
      <c r="A7" s="1" t="s">
        <v>24</v>
      </c>
      <c r="B7" s="5" t="n">
        <v>34</v>
      </c>
      <c r="C7" s="5" t="n">
        <v>21</v>
      </c>
      <c r="D7" s="1" t="n">
        <v>17</v>
      </c>
      <c r="E7" s="1" t="n">
        <v>37</v>
      </c>
      <c r="F7" s="5" t="n">
        <v>24</v>
      </c>
      <c r="G7" s="5" t="n">
        <v>20</v>
      </c>
      <c r="H7" s="8"/>
      <c r="I7" s="5" t="n">
        <v>21</v>
      </c>
      <c r="J7" s="5" t="n">
        <v>28</v>
      </c>
      <c r="K7" s="5" t="n">
        <v>23</v>
      </c>
      <c r="L7" s="5" t="n">
        <v>22</v>
      </c>
      <c r="M7" s="5" t="n">
        <v>27</v>
      </c>
      <c r="N7" s="5" t="n">
        <v>26</v>
      </c>
      <c r="O7" s="5" t="n">
        <v>26</v>
      </c>
      <c r="P7" s="5" t="n">
        <v>23</v>
      </c>
      <c r="Q7" s="6" t="n">
        <f aca="false">AVERAGE(B7:P7)</f>
        <v>24.9285714285714</v>
      </c>
      <c r="R7" s="6" t="n">
        <f aca="false">STDEV(B7:P7)/SQRT(15)</f>
        <v>1.39399549612739</v>
      </c>
      <c r="S7" s="7" t="n">
        <f aca="false">Q7/$Q$3</f>
        <v>0.747857142857143</v>
      </c>
      <c r="T7" s="7" t="n">
        <f aca="false">R7/$Q$3</f>
        <v>0.0418198648838216</v>
      </c>
    </row>
    <row r="8" customFormat="false" ht="22.05" hidden="false" customHeight="false" outlineLevel="0" collapsed="false">
      <c r="A8" s="1" t="s">
        <v>25</v>
      </c>
      <c r="B8" s="8"/>
      <c r="C8" s="5" t="n">
        <v>18</v>
      </c>
      <c r="D8" s="1" t="n">
        <v>18</v>
      </c>
      <c r="E8" s="1" t="n">
        <v>15</v>
      </c>
      <c r="F8" s="8"/>
      <c r="G8" s="8"/>
      <c r="H8" s="8"/>
      <c r="I8" s="8"/>
      <c r="J8" s="8"/>
      <c r="K8" s="5" t="n">
        <v>12</v>
      </c>
      <c r="L8" s="5" t="n">
        <v>16</v>
      </c>
      <c r="M8" s="5" t="n">
        <v>30</v>
      </c>
      <c r="N8" s="5" t="n">
        <v>18</v>
      </c>
      <c r="O8" s="8"/>
      <c r="P8" s="8"/>
      <c r="Q8" s="6" t="n">
        <f aca="false">AVERAGE(B8:P8)</f>
        <v>18.1428571428571</v>
      </c>
      <c r="R8" s="6" t="n">
        <f aca="false">STDEV(B8:P8)/SQRT(15)</f>
        <v>1.4638501094228</v>
      </c>
      <c r="S8" s="7" t="n">
        <f aca="false">Q8/$Q$3</f>
        <v>0.544285714285714</v>
      </c>
      <c r="T8" s="7" t="n">
        <f aca="false">R8/$Q$3</f>
        <v>0.043915503282684</v>
      </c>
    </row>
    <row r="10" customFormat="false" ht="22.05" hidden="false" customHeight="false" outlineLevel="0" collapsed="false">
      <c r="A10" s="2" t="s">
        <v>37</v>
      </c>
      <c r="B10" s="2"/>
      <c r="C10" s="2"/>
      <c r="D10" s="2"/>
      <c r="E10" s="2"/>
      <c r="F10" s="2"/>
      <c r="G10" s="2"/>
      <c r="H10" s="2"/>
      <c r="I10" s="2"/>
    </row>
    <row r="11" customFormat="false" ht="22.05" hidden="false" customHeight="false" outlineLevel="0" collapsed="false"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0" t="s">
        <v>16</v>
      </c>
      <c r="K11" s="10" t="s">
        <v>17</v>
      </c>
      <c r="L11" s="4" t="s">
        <v>18</v>
      </c>
      <c r="M11" s="4" t="s">
        <v>19</v>
      </c>
    </row>
    <row r="12" customFormat="false" ht="22.05" hidden="false" customHeight="false" outlineLevel="0" collapsed="false">
      <c r="A12" s="1" t="s">
        <v>20</v>
      </c>
      <c r="B12" s="1" t="n">
        <v>29</v>
      </c>
      <c r="C12" s="1" t="n">
        <v>33</v>
      </c>
      <c r="D12" s="1" t="n">
        <v>24</v>
      </c>
      <c r="E12" s="1" t="n">
        <v>35</v>
      </c>
      <c r="F12" s="1" t="n">
        <v>40</v>
      </c>
      <c r="G12" s="1" t="n">
        <v>30</v>
      </c>
      <c r="H12" s="1" t="n">
        <v>32</v>
      </c>
      <c r="I12" s="1" t="n">
        <v>36</v>
      </c>
      <c r="J12" s="11" t="n">
        <f aca="false">AVERAGE(B12:I12)</f>
        <v>32.375</v>
      </c>
      <c r="K12" s="11" t="n">
        <f aca="false">STDEV(B12:I12)/SQRT(8)</f>
        <v>1.721061757006</v>
      </c>
      <c r="L12" s="7" t="n">
        <f aca="false">J12/$J$12</f>
        <v>1</v>
      </c>
      <c r="M12" s="7" t="n">
        <f aca="false">K12/$J$12</f>
        <v>0.05316020871061</v>
      </c>
    </row>
    <row r="13" customFormat="false" ht="22.05" hidden="false" customHeight="false" outlineLevel="0" collapsed="false">
      <c r="A13" s="1" t="s">
        <v>21</v>
      </c>
      <c r="B13" s="1" t="n">
        <v>30</v>
      </c>
      <c r="C13" s="1" t="n">
        <v>20</v>
      </c>
      <c r="D13" s="1" t="n">
        <v>37</v>
      </c>
      <c r="E13" s="1" t="n">
        <v>33</v>
      </c>
      <c r="F13" s="1" t="n">
        <v>34</v>
      </c>
      <c r="G13" s="1" t="n">
        <v>28</v>
      </c>
      <c r="H13" s="1" t="n">
        <v>32</v>
      </c>
      <c r="I13" s="1" t="n">
        <v>27</v>
      </c>
      <c r="J13" s="11" t="n">
        <f aca="false">AVERAGE(B13:I13)</f>
        <v>30.125</v>
      </c>
      <c r="K13" s="11" t="n">
        <f aca="false">STDEV(B13:I13)/SQRT(8)</f>
        <v>1.84620750265433</v>
      </c>
      <c r="L13" s="7" t="n">
        <f aca="false">J13/$J$12</f>
        <v>0.930501930501931</v>
      </c>
      <c r="M13" s="7" t="n">
        <f aca="false">K13/$J$12</f>
        <v>0.0570257143677014</v>
      </c>
    </row>
    <row r="14" customFormat="false" ht="22.05" hidden="false" customHeight="false" outlineLevel="0" collapsed="false">
      <c r="A14" s="1" t="s">
        <v>22</v>
      </c>
      <c r="B14" s="1" t="n">
        <v>30</v>
      </c>
      <c r="C14" s="1" t="n">
        <v>21</v>
      </c>
      <c r="D14" s="1" t="n">
        <v>25</v>
      </c>
      <c r="E14" s="1" t="n">
        <v>40</v>
      </c>
      <c r="F14" s="1" t="n">
        <v>30</v>
      </c>
      <c r="G14" s="1" t="n">
        <v>43</v>
      </c>
      <c r="H14" s="1" t="n">
        <v>26</v>
      </c>
      <c r="I14" s="1" t="n">
        <v>23</v>
      </c>
      <c r="J14" s="11" t="n">
        <f aca="false">AVERAGE(B14:I14)</f>
        <v>29.75</v>
      </c>
      <c r="K14" s="11" t="n">
        <f aca="false">STDEV(B14:I14)/SQRT(8)</f>
        <v>2.80146645271977</v>
      </c>
      <c r="L14" s="7" t="n">
        <f aca="false">J14/$J$12</f>
        <v>0.918918918918919</v>
      </c>
      <c r="M14" s="7" t="n">
        <f aca="false">K14/$J$12</f>
        <v>0.0865317823233905</v>
      </c>
    </row>
    <row r="15" customFormat="false" ht="22.05" hidden="false" customHeight="false" outlineLevel="0" collapsed="false">
      <c r="A15" s="1" t="s">
        <v>23</v>
      </c>
      <c r="B15" s="1" t="n">
        <v>22</v>
      </c>
      <c r="C15" s="1" t="n">
        <v>18</v>
      </c>
      <c r="D15" s="1" t="n">
        <v>19</v>
      </c>
      <c r="E15" s="1" t="n">
        <v>30</v>
      </c>
      <c r="F15" s="1" t="n">
        <v>24</v>
      </c>
      <c r="G15" s="1" t="n">
        <v>39</v>
      </c>
      <c r="H15" s="1" t="n">
        <v>19</v>
      </c>
      <c r="I15" s="1" t="n">
        <v>25</v>
      </c>
      <c r="J15" s="11" t="n">
        <f aca="false">AVERAGE(B15:I15)</f>
        <v>24.5</v>
      </c>
      <c r="K15" s="11" t="n">
        <f aca="false">STDEV(B15:I15)/SQRT(8)</f>
        <v>2.5</v>
      </c>
      <c r="L15" s="7" t="n">
        <f aca="false">J15/$J$12</f>
        <v>0.756756756756757</v>
      </c>
      <c r="M15" s="7" t="n">
        <f aca="false">K15/$J$12</f>
        <v>0.0772200772200772</v>
      </c>
    </row>
    <row r="16" customFormat="false" ht="22.05" hidden="false" customHeight="false" outlineLevel="0" collapsed="false">
      <c r="A16" s="1" t="s">
        <v>24</v>
      </c>
      <c r="B16" s="1" t="n">
        <v>29</v>
      </c>
      <c r="C16" s="1" t="n">
        <v>28</v>
      </c>
      <c r="D16" s="1" t="n">
        <v>25</v>
      </c>
      <c r="E16" s="1" t="n">
        <v>32</v>
      </c>
      <c r="F16" s="1" t="n">
        <v>17</v>
      </c>
      <c r="G16" s="1" t="n">
        <v>36</v>
      </c>
      <c r="H16" s="8"/>
      <c r="I16" s="1" t="n">
        <v>18</v>
      </c>
      <c r="J16" s="11" t="n">
        <f aca="false">AVERAGE(B16:I16)</f>
        <v>26.4285714285714</v>
      </c>
      <c r="K16" s="11" t="n">
        <f aca="false">STDEV(B16:I16)/SQRT(8)</f>
        <v>2.47367087929005</v>
      </c>
      <c r="L16" s="7" t="n">
        <f aca="false">J16/$J$12</f>
        <v>0.816326530612245</v>
      </c>
      <c r="M16" s="7" t="n">
        <f aca="false">K16/$J$12</f>
        <v>0.0764068225263336</v>
      </c>
    </row>
    <row r="17" customFormat="false" ht="22.05" hidden="false" customHeight="false" outlineLevel="0" collapsed="false">
      <c r="A17" s="1" t="s">
        <v>25</v>
      </c>
      <c r="B17" s="1" t="n">
        <v>17</v>
      </c>
      <c r="C17" s="1" t="n">
        <v>31</v>
      </c>
      <c r="D17" s="1" t="n">
        <v>21</v>
      </c>
      <c r="E17" s="1" t="n">
        <v>19</v>
      </c>
      <c r="F17" s="1" t="n">
        <v>26</v>
      </c>
      <c r="G17" s="1" t="n">
        <v>28</v>
      </c>
      <c r="H17" s="8"/>
      <c r="I17" s="1" t="n">
        <v>24</v>
      </c>
      <c r="J17" s="11" t="n">
        <f aca="false">AVERAGE(B17:I17)</f>
        <v>23.7142857142857</v>
      </c>
      <c r="K17" s="11" t="n">
        <f aca="false">STDEV(B17:I17)/SQRT(8)</f>
        <v>1.77616494300555</v>
      </c>
      <c r="L17" s="7" t="n">
        <f aca="false">J17/$J$12</f>
        <v>0.732487589630447</v>
      </c>
      <c r="M17" s="7" t="n">
        <f aca="false">K17/$J$12</f>
        <v>0.054862237621793</v>
      </c>
    </row>
    <row r="20" customFormat="false" ht="22.05" hidden="false" customHeight="false" outlineLevel="0" collapsed="false">
      <c r="A20" s="2" t="s">
        <v>38</v>
      </c>
      <c r="B20" s="2"/>
      <c r="C20" s="2"/>
      <c r="D20" s="2"/>
      <c r="E20" s="2"/>
      <c r="F20" s="2"/>
    </row>
    <row r="21" customFormat="false" ht="22.05" hidden="false" customHeight="false" outlineLevel="0" collapsed="false">
      <c r="B21" s="1" t="s">
        <v>1</v>
      </c>
      <c r="C21" s="1" t="s">
        <v>2</v>
      </c>
      <c r="D21" s="1" t="s">
        <v>3</v>
      </c>
      <c r="E21" s="10" t="s">
        <v>16</v>
      </c>
      <c r="F21" s="10" t="s">
        <v>17</v>
      </c>
      <c r="G21" s="4" t="s">
        <v>18</v>
      </c>
      <c r="H21" s="4" t="s">
        <v>19</v>
      </c>
    </row>
    <row r="22" customFormat="false" ht="22.05" hidden="false" customHeight="false" outlineLevel="0" collapsed="false">
      <c r="A22" s="1" t="s">
        <v>20</v>
      </c>
      <c r="B22" s="5" t="n">
        <v>29</v>
      </c>
      <c r="C22" s="1" t="n">
        <v>24</v>
      </c>
      <c r="D22" s="1" t="n">
        <v>26</v>
      </c>
      <c r="E22" s="11" t="n">
        <f aca="false">AVERAGE(B22:D22)</f>
        <v>26.3333333333333</v>
      </c>
      <c r="F22" s="11" t="n">
        <f aca="false">STDEV(B22:D22)/SQRT(3)</f>
        <v>1.45296631451356</v>
      </c>
      <c r="G22" s="7" t="n">
        <f aca="false">E22/$E$22</f>
        <v>1</v>
      </c>
      <c r="H22" s="7" t="n">
        <f aca="false">F22/$E$22</f>
        <v>0.0551759359941858</v>
      </c>
    </row>
    <row r="23" customFormat="false" ht="22.05" hidden="false" customHeight="false" outlineLevel="0" collapsed="false">
      <c r="A23" s="1" t="s">
        <v>21</v>
      </c>
      <c r="B23" s="5" t="n">
        <v>23</v>
      </c>
      <c r="C23" s="1" t="n">
        <v>32</v>
      </c>
      <c r="D23" s="1" t="n">
        <v>31</v>
      </c>
      <c r="E23" s="11" t="n">
        <f aca="false">AVERAGE(B23:D23)</f>
        <v>28.6666666666667</v>
      </c>
      <c r="F23" s="11" t="n">
        <f aca="false">STDEV(B23:D23)/SQRT(3)</f>
        <v>2.84800124843918</v>
      </c>
      <c r="G23" s="7" t="n">
        <f aca="false">E23/$E$22</f>
        <v>1.08860759493671</v>
      </c>
      <c r="H23" s="7" t="n">
        <f aca="false">F23/$E$22</f>
        <v>0.10815194614326</v>
      </c>
    </row>
    <row r="24" customFormat="false" ht="22.05" hidden="false" customHeight="false" outlineLevel="0" collapsed="false">
      <c r="A24" s="1" t="s">
        <v>22</v>
      </c>
      <c r="B24" s="5" t="n">
        <v>33</v>
      </c>
      <c r="C24" s="1" t="n">
        <v>20</v>
      </c>
      <c r="D24" s="1" t="n">
        <v>23</v>
      </c>
      <c r="E24" s="11" t="n">
        <f aca="false">AVERAGE(B24:D24)</f>
        <v>25.3333333333333</v>
      </c>
      <c r="F24" s="11" t="n">
        <f aca="false">STDEV(B24:D24)/SQRT(3)</f>
        <v>3.92994204085053</v>
      </c>
      <c r="G24" s="7" t="n">
        <f aca="false">E24/$E$22</f>
        <v>0.962025316455696</v>
      </c>
      <c r="H24" s="7" t="n">
        <f aca="false">F24/$E$22</f>
        <v>0.149238305348754</v>
      </c>
    </row>
    <row r="25" customFormat="false" ht="22.05" hidden="false" customHeight="false" outlineLevel="0" collapsed="false">
      <c r="A25" s="1" t="s">
        <v>23</v>
      </c>
      <c r="B25" s="5" t="n">
        <v>27</v>
      </c>
      <c r="C25" s="5" t="n">
        <v>23</v>
      </c>
      <c r="D25" s="1" t="n">
        <v>28</v>
      </c>
      <c r="E25" s="11" t="n">
        <f aca="false">AVERAGE(B25:D25)</f>
        <v>26</v>
      </c>
      <c r="F25" s="11" t="n">
        <f aca="false">STDEV(B25:D25)/SQRT(3)</f>
        <v>1.52752523165195</v>
      </c>
      <c r="G25" s="7" t="n">
        <f aca="false">E25/$E$22</f>
        <v>0.987341772151899</v>
      </c>
      <c r="H25" s="7" t="n">
        <f aca="false">F25/$E$22</f>
        <v>0.058007287277922</v>
      </c>
    </row>
    <row r="26" customFormat="false" ht="22.05" hidden="false" customHeight="false" outlineLevel="0" collapsed="false">
      <c r="A26" s="1" t="s">
        <v>24</v>
      </c>
      <c r="B26" s="5" t="n">
        <v>25</v>
      </c>
      <c r="C26" s="5" t="n">
        <v>24</v>
      </c>
      <c r="D26" s="1" t="n">
        <v>22</v>
      </c>
      <c r="E26" s="11" t="n">
        <f aca="false">AVERAGE(B26:D26)</f>
        <v>23.6666666666667</v>
      </c>
      <c r="F26" s="11" t="n">
        <f aca="false">STDEV(B26:D26)/SQRT(3)</f>
        <v>0.881917103688197</v>
      </c>
      <c r="G26" s="7" t="n">
        <f aca="false">E26/$E$22</f>
        <v>0.89873417721519</v>
      </c>
      <c r="H26" s="7" t="n">
        <f aca="false">F26/$E$22</f>
        <v>0.0334905229248682</v>
      </c>
    </row>
    <row r="27" customFormat="false" ht="22.05" hidden="false" customHeight="false" outlineLevel="0" collapsed="false">
      <c r="A27" s="1" t="s">
        <v>25</v>
      </c>
      <c r="B27" s="8"/>
      <c r="C27" s="8"/>
      <c r="D27" s="8"/>
      <c r="E27" s="11" t="e">
        <f aca="false">AVERAGE(B27:D27)</f>
        <v>#DIV/0!</v>
      </c>
      <c r="F27" s="11" t="e">
        <f aca="false">STDEV(B27:D27)/SQRT(3)</f>
        <v>#DIV/0!</v>
      </c>
      <c r="G27" s="7" t="e">
        <f aca="false">E27/$E$22</f>
        <v>#DIV/0!</v>
      </c>
      <c r="H27" s="7" t="e">
        <f aca="false">F27/$E$22</f>
        <v>#DIV/0!</v>
      </c>
    </row>
    <row r="29" customFormat="false" ht="22.05" hidden="false" customHeight="false" outlineLevel="0" collapsed="false">
      <c r="A29" s="2" t="s">
        <v>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customFormat="false" ht="22.05" hidden="false" customHeight="false" outlineLevel="0" collapsed="false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  <c r="J30" s="1" t="s">
        <v>9</v>
      </c>
      <c r="K30" s="1" t="s">
        <v>10</v>
      </c>
      <c r="L30" s="1" t="s">
        <v>11</v>
      </c>
      <c r="M30" s="1" t="s">
        <v>12</v>
      </c>
      <c r="N30" s="1" t="s">
        <v>13</v>
      </c>
      <c r="O30" s="1" t="s">
        <v>14</v>
      </c>
      <c r="P30" s="10" t="s">
        <v>16</v>
      </c>
      <c r="Q30" s="10" t="s">
        <v>17</v>
      </c>
      <c r="R30" s="4" t="s">
        <v>18</v>
      </c>
      <c r="S30" s="4" t="s">
        <v>19</v>
      </c>
    </row>
    <row r="31" customFormat="false" ht="22.05" hidden="false" customHeight="false" outlineLevel="0" collapsed="false">
      <c r="A31" s="1" t="s">
        <v>20</v>
      </c>
      <c r="B31" s="1" t="n">
        <v>45</v>
      </c>
      <c r="C31" s="5" t="s">
        <v>40</v>
      </c>
      <c r="D31" s="5" t="s">
        <v>40</v>
      </c>
      <c r="E31" s="5" t="s">
        <v>40</v>
      </c>
      <c r="F31" s="5" t="n">
        <v>24</v>
      </c>
      <c r="G31" s="5" t="n">
        <v>37</v>
      </c>
      <c r="H31" s="5" t="s">
        <v>40</v>
      </c>
      <c r="I31" s="5" t="s">
        <v>40</v>
      </c>
      <c r="J31" s="5" t="n">
        <v>42</v>
      </c>
      <c r="K31" s="5" t="n">
        <v>39</v>
      </c>
      <c r="L31" s="5" t="n">
        <v>25</v>
      </c>
      <c r="M31" s="5" t="n">
        <v>35</v>
      </c>
      <c r="N31" s="5" t="n">
        <v>27</v>
      </c>
      <c r="O31" s="5" t="n">
        <v>29</v>
      </c>
      <c r="P31" s="11" t="n">
        <f aca="false">AVERAGE(B31:O31)</f>
        <v>33.6666666666667</v>
      </c>
      <c r="Q31" s="11" t="n">
        <f aca="false">STDEV(B31:O31)/SQRT(14)</f>
        <v>2.05721726055924</v>
      </c>
      <c r="R31" s="7" t="n">
        <f aca="false">P31/$P$31</f>
        <v>1</v>
      </c>
      <c r="S31" s="7" t="n">
        <f aca="false">Q31/$P$31</f>
        <v>0.0611054631849279</v>
      </c>
    </row>
    <row r="32" customFormat="false" ht="22.05" hidden="false" customHeight="false" outlineLevel="0" collapsed="false">
      <c r="A32" s="1" t="s">
        <v>21</v>
      </c>
      <c r="B32" s="1" t="n">
        <v>36</v>
      </c>
      <c r="C32" s="1" t="n">
        <v>21</v>
      </c>
      <c r="D32" s="1" t="n">
        <v>32</v>
      </c>
      <c r="E32" s="1" t="n">
        <v>30</v>
      </c>
      <c r="F32" s="1" t="n">
        <v>25</v>
      </c>
      <c r="G32" s="1" t="n">
        <v>34</v>
      </c>
      <c r="H32" s="1" t="n">
        <v>40</v>
      </c>
      <c r="I32" s="5" t="n">
        <v>37</v>
      </c>
      <c r="J32" s="5" t="n">
        <v>28</v>
      </c>
      <c r="K32" s="5" t="n">
        <v>37</v>
      </c>
      <c r="L32" s="5" t="n">
        <v>31</v>
      </c>
      <c r="M32" s="5" t="n">
        <v>35</v>
      </c>
      <c r="N32" s="5" t="n">
        <v>32</v>
      </c>
      <c r="O32" s="5" t="n">
        <v>33</v>
      </c>
      <c r="P32" s="11" t="n">
        <f aca="false">AVERAGE(B32:O32)</f>
        <v>32.2142857142857</v>
      </c>
      <c r="Q32" s="11" t="n">
        <f aca="false">STDEV(B32:O32)/SQRT(14)</f>
        <v>1.3554066395572</v>
      </c>
      <c r="R32" s="7" t="n">
        <f aca="false">P32/$P$31</f>
        <v>0.956859971711457</v>
      </c>
      <c r="S32" s="7" t="n">
        <f aca="false">Q32/$P$31</f>
        <v>0.0402596031551642</v>
      </c>
    </row>
    <row r="33" customFormat="false" ht="22.05" hidden="false" customHeight="false" outlineLevel="0" collapsed="false">
      <c r="A33" s="1" t="s">
        <v>22</v>
      </c>
      <c r="B33" s="1" t="n">
        <v>39</v>
      </c>
      <c r="C33" s="5" t="n">
        <v>22</v>
      </c>
      <c r="D33" s="1" t="n">
        <v>31</v>
      </c>
      <c r="E33" s="1" t="n">
        <v>29</v>
      </c>
      <c r="F33" s="5" t="n">
        <v>23</v>
      </c>
      <c r="G33" s="1" t="n">
        <v>32</v>
      </c>
      <c r="H33" s="1" t="n">
        <v>34</v>
      </c>
      <c r="I33" s="1" t="n">
        <v>22</v>
      </c>
      <c r="J33" s="5" t="n">
        <v>35</v>
      </c>
      <c r="K33" s="5" t="n">
        <v>31</v>
      </c>
      <c r="L33" s="5" t="n">
        <v>39</v>
      </c>
      <c r="M33" s="5" t="n">
        <v>32</v>
      </c>
      <c r="N33" s="5" t="n">
        <v>30</v>
      </c>
      <c r="O33" s="5" t="n">
        <v>34</v>
      </c>
      <c r="P33" s="11" t="n">
        <f aca="false">AVERAGE(B33:O33)</f>
        <v>30.9285714285714</v>
      </c>
      <c r="Q33" s="11" t="n">
        <f aca="false">STDEV(B33:O33)/SQRT(14)</f>
        <v>1.47307067232075</v>
      </c>
      <c r="R33" s="7" t="n">
        <f aca="false">P33/$P$31</f>
        <v>0.918670438472419</v>
      </c>
      <c r="S33" s="7" t="n">
        <f aca="false">Q33/$P$31</f>
        <v>0.0437545744253687</v>
      </c>
    </row>
    <row r="34" customFormat="false" ht="22.05" hidden="false" customHeight="false" outlineLevel="0" collapsed="false">
      <c r="A34" s="1" t="s">
        <v>23</v>
      </c>
      <c r="B34" s="1" t="n">
        <v>30</v>
      </c>
      <c r="C34" s="1" t="n">
        <v>24</v>
      </c>
      <c r="D34" s="1" t="n">
        <v>27</v>
      </c>
      <c r="E34" s="1" t="n">
        <v>26</v>
      </c>
      <c r="F34" s="1" t="n">
        <v>21</v>
      </c>
      <c r="G34" s="1" t="n">
        <v>32</v>
      </c>
      <c r="H34" s="1" t="n">
        <v>21</v>
      </c>
      <c r="I34" s="1" t="n">
        <v>23</v>
      </c>
      <c r="J34" s="5" t="n">
        <v>35</v>
      </c>
      <c r="K34" s="5" t="n">
        <v>37</v>
      </c>
      <c r="L34" s="5" t="n">
        <v>38</v>
      </c>
      <c r="M34" s="5" t="n">
        <v>31</v>
      </c>
      <c r="N34" s="5" t="n">
        <v>26</v>
      </c>
      <c r="O34" s="5" t="n">
        <v>32</v>
      </c>
      <c r="P34" s="11" t="n">
        <f aca="false">AVERAGE(B34:O34)</f>
        <v>28.7857142857143</v>
      </c>
      <c r="Q34" s="11" t="n">
        <f aca="false">STDEV(B34:O34)/SQRT(14)</f>
        <v>1.50886964251925</v>
      </c>
      <c r="R34" s="7" t="n">
        <f aca="false">P34/$P$31</f>
        <v>0.855021216407355</v>
      </c>
      <c r="S34" s="7" t="n">
        <f aca="false">Q34/$P$31</f>
        <v>0.0448179101738391</v>
      </c>
    </row>
    <row r="35" customFormat="false" ht="22.05" hidden="false" customHeight="false" outlineLevel="0" collapsed="false">
      <c r="A35" s="1" t="s">
        <v>24</v>
      </c>
      <c r="B35" s="1" t="n">
        <v>29</v>
      </c>
      <c r="C35" s="8"/>
      <c r="D35" s="1" t="n">
        <v>24</v>
      </c>
      <c r="E35" s="1" t="n">
        <v>26</v>
      </c>
      <c r="F35" s="1" t="n">
        <v>13</v>
      </c>
      <c r="G35" s="1" t="n">
        <v>19</v>
      </c>
      <c r="H35" s="1" t="n">
        <v>18</v>
      </c>
      <c r="I35" s="5" t="n">
        <v>24</v>
      </c>
      <c r="J35" s="5" t="n">
        <v>25</v>
      </c>
      <c r="K35" s="5" t="n">
        <v>26</v>
      </c>
      <c r="L35" s="5" t="n">
        <v>22</v>
      </c>
      <c r="M35" s="5" t="n">
        <v>23</v>
      </c>
      <c r="N35" s="5" t="n">
        <v>22</v>
      </c>
      <c r="O35" s="5" t="n">
        <v>31</v>
      </c>
      <c r="P35" s="11" t="n">
        <f aca="false">AVERAGE(B35:O35)</f>
        <v>23.2307692307692</v>
      </c>
      <c r="Q35" s="11" t="n">
        <f aca="false">STDEV(B35:O35)/SQRT(14)</f>
        <v>1.25903329390641</v>
      </c>
      <c r="R35" s="7" t="n">
        <f aca="false">P35/$P$31</f>
        <v>0.69002284843869</v>
      </c>
      <c r="S35" s="7" t="n">
        <f aca="false">Q35/$P$31</f>
        <v>0.0373970285318737</v>
      </c>
    </row>
    <row r="36" customFormat="false" ht="22.05" hidden="false" customHeight="false" outlineLevel="0" collapsed="false">
      <c r="A36" s="1" t="s">
        <v>25</v>
      </c>
      <c r="B36" s="1" t="n">
        <v>25</v>
      </c>
      <c r="C36" s="8"/>
      <c r="D36" s="8"/>
      <c r="E36" s="1" t="n">
        <v>15</v>
      </c>
      <c r="F36" s="8"/>
      <c r="G36" s="1" t="n">
        <v>17</v>
      </c>
      <c r="H36" s="1" t="n">
        <v>15</v>
      </c>
      <c r="I36" s="1" t="n">
        <v>13</v>
      </c>
      <c r="J36" s="5" t="n">
        <v>22</v>
      </c>
      <c r="K36" s="5" t="n">
        <v>25</v>
      </c>
      <c r="L36" s="5" t="n">
        <v>29</v>
      </c>
      <c r="M36" s="5" t="n">
        <v>27</v>
      </c>
      <c r="N36" s="8"/>
      <c r="O36" s="5" t="n">
        <v>26</v>
      </c>
      <c r="P36" s="11" t="n">
        <f aca="false">AVERAGE(B36:O36)</f>
        <v>21.4</v>
      </c>
      <c r="Q36" s="11" t="n">
        <f aca="false">STDEV(B36:O36)/SQRT(14)</f>
        <v>1.5644868320376</v>
      </c>
      <c r="R36" s="7" t="n">
        <f aca="false">P36/$P$31</f>
        <v>0.635643564356436</v>
      </c>
      <c r="S36" s="7" t="n">
        <f aca="false">Q36/$P$31</f>
        <v>0.046469905902107</v>
      </c>
    </row>
    <row r="37" customFormat="false" ht="22.05" hidden="false" customHeight="false" outlineLevel="0" collapsed="false">
      <c r="C37" s="5"/>
      <c r="D37" s="5"/>
      <c r="E37" s="5"/>
      <c r="F37" s="5"/>
      <c r="G37" s="5"/>
    </row>
  </sheetData>
  <mergeCells count="4">
    <mergeCell ref="A1:P1"/>
    <mergeCell ref="A10:I10"/>
    <mergeCell ref="A20:F20"/>
    <mergeCell ref="A29:O29"/>
  </mergeCell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64" colorId="64" zoomScale="90" zoomScaleNormal="90" zoomScalePageLayoutView="100" workbookViewId="0">
      <selection pane="topLeft" activeCell="G73" activeCellId="0" sqref="G73"/>
    </sheetView>
  </sheetViews>
  <sheetFormatPr defaultColWidth="11.53515625" defaultRowHeight="22.05" customHeight="true" zeroHeight="false" outlineLevelRow="0" outlineLevelCol="0"/>
  <cols>
    <col collapsed="false" customWidth="true" hidden="false" outlineLevel="0" max="1" min="1" style="5" width="62.76"/>
    <col collapsed="false" customWidth="true" hidden="false" outlineLevel="0" max="2" min="2" style="13" width="14.68"/>
    <col collapsed="false" customWidth="true" hidden="false" outlineLevel="0" max="5" min="3" style="5" width="14.68"/>
    <col collapsed="false" customWidth="true" hidden="false" outlineLevel="0" max="6" min="6" style="5" width="11.84"/>
    <col collapsed="false" customWidth="true" hidden="false" outlineLevel="0" max="7" min="7" style="5" width="15.54"/>
    <col collapsed="false" customWidth="false" hidden="false" outlineLevel="0" max="8" min="8" style="5" width="11.53"/>
    <col collapsed="false" customWidth="false" hidden="false" outlineLevel="0" max="16384" min="9" style="14" width="11.53"/>
  </cols>
  <sheetData>
    <row r="1" customFormat="false" ht="22.05" hidden="false" customHeight="false" outlineLevel="0" collapsed="false">
      <c r="A1" s="3" t="s">
        <v>41</v>
      </c>
    </row>
    <row r="2" customFormat="false" ht="22.05" hidden="false" customHeight="false" outlineLevel="0" collapsed="false">
      <c r="B2" s="15" t="s">
        <v>20</v>
      </c>
      <c r="C2" s="15" t="s">
        <v>21</v>
      </c>
      <c r="D2" s="15" t="n">
        <v>0.5</v>
      </c>
      <c r="E2" s="15" t="n">
        <v>1.5</v>
      </c>
      <c r="F2" s="15" t="n">
        <v>7</v>
      </c>
      <c r="G2" s="15" t="n">
        <v>24</v>
      </c>
      <c r="H2" s="15"/>
    </row>
    <row r="3" customFormat="false" ht="22.05" hidden="false" customHeight="false" outlineLevel="0" collapsed="false">
      <c r="A3" s="16" t="s">
        <v>28</v>
      </c>
      <c r="B3" s="17" t="n">
        <v>100</v>
      </c>
      <c r="C3" s="18" t="n">
        <v>98.67</v>
      </c>
      <c r="D3" s="18" t="n">
        <v>104</v>
      </c>
      <c r="E3" s="17" t="n">
        <v>92</v>
      </c>
      <c r="F3" s="18" t="n">
        <v>100.67</v>
      </c>
      <c r="G3" s="18" t="n">
        <v>105</v>
      </c>
      <c r="I3" s="14" t="s">
        <v>42</v>
      </c>
      <c r="J3" s="14" t="n">
        <v>0.0001</v>
      </c>
    </row>
    <row r="4" customFormat="false" ht="22.05" hidden="false" customHeight="false" outlineLevel="0" collapsed="false">
      <c r="A4" s="16" t="s">
        <v>43</v>
      </c>
      <c r="B4" s="17" t="n">
        <v>4.08</v>
      </c>
      <c r="C4" s="18" t="n">
        <v>5.01</v>
      </c>
      <c r="D4" s="18" t="n">
        <v>7.77</v>
      </c>
      <c r="E4" s="17" t="n">
        <v>5.44</v>
      </c>
      <c r="F4" s="18" t="n">
        <v>2.87</v>
      </c>
      <c r="G4" s="18" t="n">
        <v>4.47</v>
      </c>
      <c r="I4" s="14" t="s">
        <v>44</v>
      </c>
      <c r="J4" s="14" t="n">
        <v>0.001</v>
      </c>
    </row>
    <row r="5" customFormat="false" ht="22.05" hidden="false" customHeight="false" outlineLevel="0" collapsed="false">
      <c r="A5" s="16"/>
      <c r="E5" s="13"/>
      <c r="I5" s="14" t="s">
        <v>45</v>
      </c>
      <c r="J5" s="14" t="n">
        <v>0.01</v>
      </c>
    </row>
    <row r="6" customFormat="false" ht="22.05" hidden="false" customHeight="false" outlineLevel="0" collapsed="false">
      <c r="A6" s="16"/>
      <c r="E6" s="13"/>
      <c r="I6" s="14" t="s">
        <v>46</v>
      </c>
      <c r="J6" s="14" t="n">
        <v>0.05</v>
      </c>
    </row>
    <row r="7" customFormat="false" ht="22.05" hidden="false" customHeight="false" outlineLevel="0" collapsed="false">
      <c r="A7" s="16" t="s">
        <v>26</v>
      </c>
      <c r="B7" s="17" t="n">
        <v>100</v>
      </c>
      <c r="C7" s="17" t="n">
        <v>93.88</v>
      </c>
      <c r="D7" s="17" t="n">
        <v>98.98</v>
      </c>
      <c r="E7" s="17" t="n">
        <v>103.06</v>
      </c>
      <c r="F7" s="17" t="n">
        <v>98.98</v>
      </c>
      <c r="G7" s="17" t="n">
        <v>105.61</v>
      </c>
      <c r="H7" s="13"/>
      <c r="I7" s="14" t="s">
        <v>47</v>
      </c>
      <c r="J7" s="19" t="s">
        <v>48</v>
      </c>
    </row>
    <row r="8" customFormat="false" ht="22.05" hidden="false" customHeight="false" outlineLevel="0" collapsed="false">
      <c r="A8" s="16" t="s">
        <v>49</v>
      </c>
      <c r="B8" s="17" t="n">
        <v>12.03</v>
      </c>
      <c r="C8" s="17" t="n">
        <v>10.8</v>
      </c>
      <c r="D8" s="17" t="n">
        <v>16.8</v>
      </c>
      <c r="E8" s="17" t="n">
        <v>15.24</v>
      </c>
      <c r="F8" s="17" t="n">
        <v>9.73</v>
      </c>
      <c r="G8" s="17" t="n">
        <v>3.75</v>
      </c>
      <c r="H8" s="13"/>
    </row>
    <row r="9" customFormat="false" ht="22.05" hidden="false" customHeight="false" outlineLevel="0" collapsed="false">
      <c r="A9" s="16" t="s">
        <v>50</v>
      </c>
      <c r="B9" s="17" t="n">
        <v>1</v>
      </c>
      <c r="C9" s="17" t="n">
        <v>0.715</v>
      </c>
      <c r="D9" s="17" t="n">
        <v>0.81</v>
      </c>
      <c r="E9" s="17" t="n">
        <v>0.55</v>
      </c>
      <c r="F9" s="17" t="n">
        <v>0.88</v>
      </c>
      <c r="G9" s="17" t="n">
        <v>0.92</v>
      </c>
      <c r="H9" s="13"/>
    </row>
    <row r="10" customFormat="false" ht="22.05" hidden="false" customHeight="false" outlineLevel="0" collapsed="false">
      <c r="A10" s="16"/>
      <c r="B10" s="20" t="s">
        <v>47</v>
      </c>
      <c r="C10" s="20" t="s">
        <v>47</v>
      </c>
      <c r="D10" s="20" t="s">
        <v>47</v>
      </c>
      <c r="E10" s="20" t="s">
        <v>47</v>
      </c>
      <c r="F10" s="20" t="s">
        <v>47</v>
      </c>
      <c r="G10" s="20" t="s">
        <v>47</v>
      </c>
      <c r="H10" s="13"/>
    </row>
    <row r="11" customFormat="false" ht="22.05" hidden="false" customHeight="false" outlineLevel="0" collapsed="false">
      <c r="A11" s="16"/>
      <c r="E11" s="13"/>
    </row>
    <row r="12" customFormat="false" ht="22.05" hidden="false" customHeight="false" outlineLevel="0" collapsed="false">
      <c r="A12" s="16" t="s">
        <v>27</v>
      </c>
      <c r="B12" s="17" t="n">
        <v>100</v>
      </c>
      <c r="C12" s="17" t="n">
        <v>91.86</v>
      </c>
      <c r="D12" s="17" t="n">
        <v>91.28</v>
      </c>
      <c r="E12" s="17" t="n">
        <v>94.19</v>
      </c>
      <c r="F12" s="17" t="n">
        <v>96.9</v>
      </c>
      <c r="G12" s="17" t="n">
        <v>82.17</v>
      </c>
      <c r="H12" s="13"/>
    </row>
    <row r="13" customFormat="false" ht="22.05" hidden="false" customHeight="false" outlineLevel="0" collapsed="false">
      <c r="A13" s="16" t="s">
        <v>51</v>
      </c>
      <c r="B13" s="17" t="n">
        <v>10.27</v>
      </c>
      <c r="C13" s="17" t="n">
        <v>12.6</v>
      </c>
      <c r="D13" s="17" t="n">
        <v>8.93</v>
      </c>
      <c r="E13" s="17" t="n">
        <v>4.5</v>
      </c>
      <c r="F13" s="17" t="n">
        <v>4.08</v>
      </c>
      <c r="G13" s="17" t="n">
        <v>3.74</v>
      </c>
      <c r="H13" s="13"/>
    </row>
    <row r="14" customFormat="false" ht="22.05" hidden="false" customHeight="false" outlineLevel="0" collapsed="false">
      <c r="A14" s="16" t="s">
        <v>52</v>
      </c>
      <c r="B14" s="17" t="n">
        <v>1</v>
      </c>
      <c r="C14" s="17" t="n">
        <v>0.64</v>
      </c>
      <c r="D14" s="17" t="n">
        <v>0.32</v>
      </c>
      <c r="E14" s="17" t="n">
        <v>0.77</v>
      </c>
      <c r="F14" s="17" t="n">
        <v>0.48</v>
      </c>
      <c r="G14" s="17" t="n">
        <v>0.006</v>
      </c>
      <c r="H14" s="13"/>
    </row>
    <row r="15" customFormat="false" ht="22.05" hidden="false" customHeight="false" outlineLevel="0" collapsed="false">
      <c r="A15" s="16"/>
      <c r="B15" s="20" t="s">
        <v>47</v>
      </c>
      <c r="C15" s="20" t="s">
        <v>47</v>
      </c>
      <c r="D15" s="20" t="s">
        <v>47</v>
      </c>
      <c r="E15" s="20" t="s">
        <v>47</v>
      </c>
      <c r="F15" s="20" t="s">
        <v>47</v>
      </c>
      <c r="G15" s="20" t="s">
        <v>45</v>
      </c>
      <c r="H15" s="13"/>
    </row>
    <row r="16" customFormat="false" ht="22.05" hidden="false" customHeight="false" outlineLevel="0" collapsed="false">
      <c r="A16" s="16"/>
      <c r="E16" s="13"/>
    </row>
    <row r="17" customFormat="false" ht="22.05" hidden="false" customHeight="false" outlineLevel="0" collapsed="false">
      <c r="A17" s="16" t="s">
        <v>53</v>
      </c>
      <c r="B17" s="17" t="n">
        <v>100</v>
      </c>
      <c r="C17" s="17" t="n">
        <v>92.8</v>
      </c>
      <c r="D17" s="17" t="n">
        <v>88.2</v>
      </c>
      <c r="E17" s="17" t="n">
        <v>78.8</v>
      </c>
      <c r="F17" s="17" t="n">
        <v>74.79</v>
      </c>
      <c r="G17" s="17" t="n">
        <v>54.43</v>
      </c>
      <c r="H17" s="13"/>
    </row>
    <row r="18" customFormat="false" ht="22.05" hidden="false" customHeight="false" outlineLevel="0" collapsed="false">
      <c r="A18" s="16" t="s">
        <v>54</v>
      </c>
      <c r="B18" s="17" t="n">
        <v>5.47</v>
      </c>
      <c r="C18" s="17" t="n">
        <v>4.54</v>
      </c>
      <c r="D18" s="17" t="n">
        <v>3.95</v>
      </c>
      <c r="E18" s="17" t="n">
        <v>4.12</v>
      </c>
      <c r="F18" s="17" t="n">
        <v>4.18</v>
      </c>
      <c r="G18" s="17" t="n">
        <v>4.39</v>
      </c>
      <c r="H18" s="13"/>
    </row>
    <row r="19" customFormat="false" ht="22.05" hidden="false" customHeight="false" outlineLevel="0" collapsed="false">
      <c r="A19" s="16" t="s">
        <v>55</v>
      </c>
      <c r="B19" s="17" t="n">
        <v>1</v>
      </c>
      <c r="C19" s="17" t="n">
        <v>0.4</v>
      </c>
      <c r="D19" s="17" t="n">
        <v>0.11</v>
      </c>
      <c r="E19" s="17" t="n">
        <v>0.08</v>
      </c>
      <c r="F19" s="17" t="n">
        <v>0.0001</v>
      </c>
      <c r="G19" s="17" t="n">
        <v>3E-006</v>
      </c>
      <c r="H19" s="13"/>
    </row>
    <row r="20" customFormat="false" ht="22.05" hidden="false" customHeight="false" outlineLevel="0" collapsed="false">
      <c r="A20" s="16"/>
      <c r="B20" s="20" t="s">
        <v>47</v>
      </c>
      <c r="C20" s="20" t="s">
        <v>47</v>
      </c>
      <c r="D20" s="20" t="s">
        <v>47</v>
      </c>
      <c r="E20" s="20" t="s">
        <v>47</v>
      </c>
      <c r="F20" s="20" t="s">
        <v>44</v>
      </c>
      <c r="G20" s="20" t="s">
        <v>42</v>
      </c>
      <c r="H20" s="13"/>
    </row>
    <row r="21" customFormat="false" ht="22.05" hidden="false" customHeight="false" outlineLevel="0" collapsed="false">
      <c r="A21" s="16"/>
    </row>
    <row r="23" customFormat="false" ht="22.05" hidden="false" customHeight="false" outlineLevel="0" collapsed="false">
      <c r="A23" s="3" t="s">
        <v>56</v>
      </c>
    </row>
    <row r="24" customFormat="false" ht="22.05" hidden="false" customHeight="false" outlineLevel="0" collapsed="false">
      <c r="B24" s="15" t="s">
        <v>20</v>
      </c>
      <c r="C24" s="15" t="s">
        <v>21</v>
      </c>
      <c r="D24" s="15" t="n">
        <v>0.5</v>
      </c>
      <c r="E24" s="15" t="n">
        <v>1.5</v>
      </c>
      <c r="F24" s="15" t="n">
        <v>7</v>
      </c>
      <c r="G24" s="15" t="n">
        <v>24</v>
      </c>
      <c r="H24" s="15"/>
    </row>
    <row r="25" customFormat="false" ht="22.05" hidden="false" customHeight="false" outlineLevel="0" collapsed="false">
      <c r="A25" s="5" t="s">
        <v>28</v>
      </c>
      <c r="B25" s="17" t="n">
        <v>100</v>
      </c>
      <c r="C25" s="18" t="n">
        <v>98.67</v>
      </c>
      <c r="D25" s="18" t="n">
        <v>104</v>
      </c>
      <c r="E25" s="18" t="n">
        <v>92</v>
      </c>
      <c r="F25" s="17" t="n">
        <v>100.67</v>
      </c>
      <c r="G25" s="18" t="n">
        <v>105</v>
      </c>
    </row>
    <row r="26" customFormat="false" ht="22.05" hidden="false" customHeight="false" outlineLevel="0" collapsed="false">
      <c r="A26" s="5" t="s">
        <v>43</v>
      </c>
      <c r="B26" s="17" t="n">
        <v>4.08</v>
      </c>
      <c r="C26" s="18" t="n">
        <v>5.01</v>
      </c>
      <c r="D26" s="18" t="n">
        <v>7.77</v>
      </c>
      <c r="E26" s="18" t="n">
        <v>5.44</v>
      </c>
      <c r="F26" s="17" t="n">
        <v>2.87</v>
      </c>
      <c r="G26" s="18" t="n">
        <v>1.92</v>
      </c>
    </row>
    <row r="27" customFormat="false" ht="22.05" hidden="false" customHeight="false" outlineLevel="0" collapsed="false">
      <c r="F27" s="13"/>
    </row>
    <row r="28" customFormat="false" ht="22.05" hidden="false" customHeight="false" outlineLevel="0" collapsed="false">
      <c r="F28" s="13"/>
    </row>
    <row r="29" customFormat="false" ht="22.05" hidden="false" customHeight="false" outlineLevel="0" collapsed="false">
      <c r="A29" s="5" t="s">
        <v>26</v>
      </c>
      <c r="B29" s="17" t="n">
        <v>100</v>
      </c>
      <c r="C29" s="17" t="n">
        <v>93.88</v>
      </c>
      <c r="D29" s="17" t="n">
        <v>98.98</v>
      </c>
      <c r="E29" s="17" t="n">
        <v>103.06</v>
      </c>
      <c r="F29" s="17" t="n">
        <v>98.98</v>
      </c>
      <c r="G29" s="18" t="n">
        <v>105.61</v>
      </c>
    </row>
    <row r="30" customFormat="false" ht="22.05" hidden="false" customHeight="false" outlineLevel="0" collapsed="false">
      <c r="A30" s="5" t="s">
        <v>49</v>
      </c>
      <c r="B30" s="17" t="n">
        <v>12.03</v>
      </c>
      <c r="C30" s="17" t="n">
        <v>10.8</v>
      </c>
      <c r="D30" s="17" t="n">
        <v>16.8</v>
      </c>
      <c r="E30" s="17" t="n">
        <v>15.24</v>
      </c>
      <c r="F30" s="17" t="n">
        <v>9.73</v>
      </c>
      <c r="G30" s="17" t="n">
        <v>3.75</v>
      </c>
      <c r="H30" s="13"/>
    </row>
    <row r="31" customFormat="false" ht="22.05" hidden="false" customHeight="false" outlineLevel="0" collapsed="false">
      <c r="A31" s="5" t="s">
        <v>50</v>
      </c>
      <c r="B31" s="17" t="n">
        <v>1</v>
      </c>
      <c r="C31" s="17" t="n">
        <v>0.71</v>
      </c>
      <c r="D31" s="17" t="n">
        <v>0.81</v>
      </c>
      <c r="E31" s="17" t="n">
        <v>0.55</v>
      </c>
      <c r="F31" s="17" t="n">
        <v>0.88</v>
      </c>
      <c r="G31" s="17" t="n">
        <v>0.92</v>
      </c>
      <c r="H31" s="13"/>
    </row>
    <row r="32" customFormat="false" ht="22.05" hidden="false" customHeight="false" outlineLevel="0" collapsed="false">
      <c r="B32" s="20" t="s">
        <v>47</v>
      </c>
      <c r="C32" s="20" t="s">
        <v>47</v>
      </c>
      <c r="D32" s="20" t="s">
        <v>47</v>
      </c>
      <c r="E32" s="20" t="s">
        <v>47</v>
      </c>
      <c r="F32" s="20" t="s">
        <v>47</v>
      </c>
      <c r="G32" s="20" t="s">
        <v>47</v>
      </c>
      <c r="H32" s="13"/>
    </row>
    <row r="33" customFormat="false" ht="22.05" hidden="false" customHeight="false" outlineLevel="0" collapsed="false">
      <c r="F33" s="13"/>
    </row>
    <row r="34" customFormat="false" ht="22.05" hidden="false" customHeight="false" outlineLevel="0" collapsed="false">
      <c r="A34" s="5" t="s">
        <v>32</v>
      </c>
      <c r="B34" s="17" t="n">
        <v>100</v>
      </c>
      <c r="C34" s="17" t="n">
        <v>104.6</v>
      </c>
      <c r="D34" s="17" t="n">
        <v>106.9</v>
      </c>
      <c r="E34" s="17" t="n">
        <v>108.1</v>
      </c>
      <c r="F34" s="17" t="n">
        <v>101.9</v>
      </c>
      <c r="G34" s="17" t="n">
        <v>98.3</v>
      </c>
      <c r="H34" s="13"/>
    </row>
    <row r="35" customFormat="false" ht="22.05" hidden="false" customHeight="false" outlineLevel="0" collapsed="false">
      <c r="A35" s="5" t="s">
        <v>57</v>
      </c>
      <c r="B35" s="17" t="n">
        <v>7.2</v>
      </c>
      <c r="C35" s="17" t="n">
        <v>10.3</v>
      </c>
      <c r="D35" s="17" t="n">
        <v>10.7</v>
      </c>
      <c r="E35" s="17" t="n">
        <v>8.7</v>
      </c>
      <c r="F35" s="17" t="n">
        <v>4</v>
      </c>
      <c r="G35" s="17" t="n">
        <v>3.7</v>
      </c>
      <c r="H35" s="13"/>
    </row>
    <row r="36" customFormat="false" ht="22.05" hidden="false" customHeight="false" outlineLevel="0" collapsed="false">
      <c r="A36" s="5" t="s">
        <v>58</v>
      </c>
      <c r="B36" s="17" t="n">
        <v>1</v>
      </c>
      <c r="C36" s="17" t="n">
        <v>0.62</v>
      </c>
      <c r="D36" s="17" t="n">
        <v>0.83</v>
      </c>
      <c r="E36" s="17" t="n">
        <v>0.16</v>
      </c>
      <c r="F36" s="17" t="n">
        <v>0.81</v>
      </c>
      <c r="G36" s="17" t="n">
        <v>0.16</v>
      </c>
      <c r="H36" s="13"/>
    </row>
    <row r="37" customFormat="false" ht="22.05" hidden="false" customHeight="false" outlineLevel="0" collapsed="false">
      <c r="B37" s="20" t="s">
        <v>47</v>
      </c>
      <c r="C37" s="20" t="s">
        <v>47</v>
      </c>
      <c r="D37" s="20" t="s">
        <v>47</v>
      </c>
      <c r="E37" s="20" t="s">
        <v>47</v>
      </c>
      <c r="F37" s="20" t="s">
        <v>47</v>
      </c>
      <c r="G37" s="20" t="s">
        <v>47</v>
      </c>
      <c r="H37" s="13"/>
    </row>
    <row r="38" customFormat="false" ht="22.05" hidden="false" customHeight="false" outlineLevel="0" collapsed="false">
      <c r="F38" s="13"/>
    </row>
    <row r="39" customFormat="false" ht="22.05" hidden="false" customHeight="false" outlineLevel="0" collapsed="false">
      <c r="A39" s="5" t="s">
        <v>59</v>
      </c>
      <c r="B39" s="17" t="n">
        <v>100</v>
      </c>
      <c r="C39" s="17" t="n">
        <v>97.16</v>
      </c>
      <c r="D39" s="17" t="n">
        <v>100.79</v>
      </c>
      <c r="E39" s="17" t="n">
        <v>106.94</v>
      </c>
      <c r="F39" s="17" t="n">
        <v>110.54</v>
      </c>
      <c r="G39" s="17" t="n">
        <v>118.07</v>
      </c>
      <c r="H39" s="13"/>
    </row>
    <row r="40" customFormat="false" ht="22.05" hidden="false" customHeight="false" outlineLevel="0" collapsed="false">
      <c r="A40" s="5" t="s">
        <v>60</v>
      </c>
      <c r="B40" s="17" t="n">
        <v>0.85</v>
      </c>
      <c r="C40" s="17" t="n">
        <v>0.74</v>
      </c>
      <c r="D40" s="17" t="n">
        <v>0.87</v>
      </c>
      <c r="E40" s="17" t="n">
        <v>1.03</v>
      </c>
      <c r="F40" s="17" t="n">
        <v>1.67</v>
      </c>
      <c r="G40" s="17" t="n">
        <v>1.14</v>
      </c>
      <c r="H40" s="13"/>
    </row>
    <row r="41" customFormat="false" ht="22.05" hidden="false" customHeight="false" outlineLevel="0" collapsed="false">
      <c r="A41" s="5" t="s">
        <v>61</v>
      </c>
      <c r="B41" s="17" t="n">
        <v>1</v>
      </c>
      <c r="C41" s="17" t="n">
        <v>0.77</v>
      </c>
      <c r="D41" s="17" t="n">
        <v>0.7</v>
      </c>
      <c r="E41" s="17" t="n">
        <v>0.05</v>
      </c>
      <c r="F41" s="17" t="n">
        <v>0.02</v>
      </c>
      <c r="G41" s="17" t="n">
        <v>0.0006</v>
      </c>
      <c r="H41" s="13"/>
    </row>
    <row r="42" customFormat="false" ht="22.05" hidden="false" customHeight="false" outlineLevel="0" collapsed="false">
      <c r="B42" s="20" t="s">
        <v>47</v>
      </c>
      <c r="C42" s="20" t="s">
        <v>47</v>
      </c>
      <c r="D42" s="20" t="s">
        <v>47</v>
      </c>
      <c r="E42" s="20" t="s">
        <v>47</v>
      </c>
      <c r="F42" s="20" t="s">
        <v>46</v>
      </c>
      <c r="G42" s="20" t="s">
        <v>44</v>
      </c>
      <c r="H42" s="13"/>
    </row>
    <row r="45" customFormat="false" ht="22.05" hidden="false" customHeight="false" outlineLevel="0" collapsed="false">
      <c r="A45" s="3" t="s">
        <v>62</v>
      </c>
    </row>
    <row r="46" customFormat="false" ht="22.05" hidden="false" customHeight="false" outlineLevel="0" collapsed="false">
      <c r="B46" s="15" t="s">
        <v>20</v>
      </c>
      <c r="C46" s="15" t="s">
        <v>21</v>
      </c>
      <c r="D46" s="15" t="n">
        <v>0.5</v>
      </c>
      <c r="E46" s="15" t="n">
        <v>1.5</v>
      </c>
      <c r="F46" s="15" t="n">
        <v>7</v>
      </c>
      <c r="G46" s="15" t="n">
        <v>24</v>
      </c>
      <c r="H46" s="15"/>
    </row>
    <row r="47" customFormat="false" ht="22.05" hidden="false" customHeight="false" outlineLevel="0" collapsed="false">
      <c r="A47" s="5" t="s">
        <v>63</v>
      </c>
      <c r="B47" s="17" t="n">
        <v>100</v>
      </c>
      <c r="C47" s="17" t="n">
        <v>92.8</v>
      </c>
      <c r="D47" s="17" t="n">
        <v>88.2</v>
      </c>
      <c r="E47" s="17" t="n">
        <v>78.8</v>
      </c>
      <c r="F47" s="17" t="n">
        <v>74.79</v>
      </c>
      <c r="G47" s="17" t="n">
        <v>54.43</v>
      </c>
      <c r="H47" s="13"/>
    </row>
    <row r="48" customFormat="false" ht="22.05" hidden="false" customHeight="false" outlineLevel="0" collapsed="false">
      <c r="A48" s="5" t="s">
        <v>64</v>
      </c>
      <c r="B48" s="17" t="n">
        <v>5.47</v>
      </c>
      <c r="C48" s="17" t="n">
        <v>4.54</v>
      </c>
      <c r="D48" s="17" t="n">
        <v>3.95</v>
      </c>
      <c r="E48" s="17" t="n">
        <v>4.12</v>
      </c>
      <c r="F48" s="17" t="n">
        <v>4.18</v>
      </c>
      <c r="G48" s="17" t="n">
        <v>4.39</v>
      </c>
      <c r="H48" s="13"/>
    </row>
    <row r="49" customFormat="false" ht="22.05" hidden="false" customHeight="false" outlineLevel="0" collapsed="false">
      <c r="E49" s="13"/>
      <c r="F49" s="13"/>
      <c r="G49" s="13"/>
      <c r="H49" s="13"/>
    </row>
    <row r="50" customFormat="false" ht="22.05" hidden="false" customHeight="false" outlineLevel="0" collapsed="false">
      <c r="E50" s="13"/>
      <c r="F50" s="13"/>
      <c r="G50" s="13"/>
      <c r="H50" s="13"/>
    </row>
    <row r="51" customFormat="false" ht="22.05" hidden="false" customHeight="false" outlineLevel="0" collapsed="false">
      <c r="A51" s="5" t="s">
        <v>65</v>
      </c>
      <c r="B51" s="17" t="n">
        <v>100</v>
      </c>
      <c r="C51" s="17" t="n">
        <v>91.04</v>
      </c>
      <c r="D51" s="17" t="n">
        <v>76.62</v>
      </c>
      <c r="E51" s="17" t="n">
        <v>81.59</v>
      </c>
      <c r="F51" s="17" t="n">
        <v>70.65</v>
      </c>
      <c r="G51" s="17" t="n">
        <v>0</v>
      </c>
      <c r="H51" s="13"/>
    </row>
    <row r="52" customFormat="false" ht="22.05" hidden="false" customHeight="false" outlineLevel="0" collapsed="false">
      <c r="A52" s="5" t="s">
        <v>66</v>
      </c>
      <c r="B52" s="17" t="n">
        <v>23.27</v>
      </c>
      <c r="C52" s="17" t="n">
        <v>12.28</v>
      </c>
      <c r="D52" s="17" t="n">
        <v>7.51</v>
      </c>
      <c r="E52" s="17" t="n">
        <v>3.11</v>
      </c>
      <c r="F52" s="17" t="n">
        <v>8.22</v>
      </c>
      <c r="G52" s="17" t="n">
        <v>0</v>
      </c>
      <c r="H52" s="13"/>
    </row>
    <row r="53" customFormat="false" ht="22.05" hidden="false" customHeight="false" outlineLevel="0" collapsed="false">
      <c r="A53" s="5" t="s">
        <v>67</v>
      </c>
      <c r="B53" s="17" t="n">
        <v>1</v>
      </c>
      <c r="C53" s="17" t="n">
        <v>0.89</v>
      </c>
      <c r="D53" s="17" t="n">
        <v>0.23</v>
      </c>
      <c r="E53" s="17" t="n">
        <v>0.59</v>
      </c>
      <c r="F53" s="17" t="n">
        <v>0.67</v>
      </c>
      <c r="G53" s="17" t="n">
        <v>1E-007</v>
      </c>
      <c r="H53" s="13"/>
    </row>
    <row r="54" customFormat="false" ht="22.05" hidden="false" customHeight="false" outlineLevel="0" collapsed="false">
      <c r="B54" s="20" t="s">
        <v>47</v>
      </c>
      <c r="C54" s="20" t="s">
        <v>47</v>
      </c>
      <c r="D54" s="20" t="s">
        <v>47</v>
      </c>
      <c r="E54" s="20" t="s">
        <v>47</v>
      </c>
      <c r="F54" s="20" t="s">
        <v>47</v>
      </c>
      <c r="G54" s="20" t="s">
        <v>42</v>
      </c>
      <c r="H54" s="13"/>
    </row>
    <row r="55" customFormat="false" ht="22.05" hidden="false" customHeight="false" outlineLevel="0" collapsed="false">
      <c r="E55" s="13"/>
      <c r="F55" s="13"/>
      <c r="G55" s="13"/>
      <c r="H55" s="13"/>
    </row>
    <row r="56" customFormat="false" ht="22.05" hidden="false" customHeight="false" outlineLevel="0" collapsed="false">
      <c r="A56" s="5" t="s">
        <v>68</v>
      </c>
      <c r="B56" s="17" t="n">
        <v>100</v>
      </c>
      <c r="C56" s="17" t="n">
        <v>108.9</v>
      </c>
      <c r="D56" s="17" t="n">
        <v>96.2</v>
      </c>
      <c r="E56" s="17" t="n">
        <v>97.47</v>
      </c>
      <c r="F56" s="17" t="n">
        <v>89.87</v>
      </c>
      <c r="G56" s="17" t="n">
        <v>0</v>
      </c>
      <c r="H56" s="13"/>
    </row>
    <row r="57" customFormat="false" ht="22.05" hidden="false" customHeight="false" outlineLevel="0" collapsed="false">
      <c r="A57" s="5" t="s">
        <v>69</v>
      </c>
      <c r="B57" s="17" t="n">
        <v>5.52</v>
      </c>
      <c r="C57" s="17" t="n">
        <v>10.82</v>
      </c>
      <c r="D57" s="17" t="n">
        <v>14.92</v>
      </c>
      <c r="E57" s="17" t="n">
        <v>7.05</v>
      </c>
      <c r="F57" s="17" t="n">
        <v>3.35</v>
      </c>
      <c r="G57" s="17" t="n">
        <v>0</v>
      </c>
      <c r="H57" s="13"/>
    </row>
    <row r="58" customFormat="false" ht="22.05" hidden="false" customHeight="false" outlineLevel="0" collapsed="false">
      <c r="A58" s="5" t="s">
        <v>70</v>
      </c>
      <c r="B58" s="17" t="n">
        <v>1</v>
      </c>
      <c r="C58" s="17" t="n">
        <v>0.27</v>
      </c>
      <c r="D58" s="17" t="n">
        <v>0.65</v>
      </c>
      <c r="E58" s="17" t="n">
        <v>0.09</v>
      </c>
      <c r="F58" s="17" t="n">
        <v>0.02</v>
      </c>
      <c r="G58" s="17" t="n">
        <v>1E-008</v>
      </c>
      <c r="H58" s="13"/>
    </row>
    <row r="59" customFormat="false" ht="22.05" hidden="false" customHeight="false" outlineLevel="0" collapsed="false">
      <c r="B59" s="20" t="s">
        <v>47</v>
      </c>
      <c r="C59" s="20" t="s">
        <v>47</v>
      </c>
      <c r="D59" s="20" t="s">
        <v>47</v>
      </c>
      <c r="E59" s="20" t="s">
        <v>47</v>
      </c>
      <c r="F59" s="20" t="s">
        <v>46</v>
      </c>
      <c r="G59" s="20" t="s">
        <v>42</v>
      </c>
      <c r="H59" s="13"/>
    </row>
    <row r="60" customFormat="false" ht="22.05" hidden="false" customHeight="false" outlineLevel="0" collapsed="false">
      <c r="C60" s="13"/>
      <c r="E60" s="13"/>
      <c r="F60" s="13"/>
      <c r="G60" s="13"/>
      <c r="H60" s="13"/>
    </row>
    <row r="61" customFormat="false" ht="22.05" hidden="false" customHeight="false" outlineLevel="0" collapsed="false">
      <c r="A61" s="5" t="s">
        <v>71</v>
      </c>
      <c r="B61" s="17" t="n">
        <v>100</v>
      </c>
      <c r="C61" s="17" t="n">
        <v>93.16</v>
      </c>
      <c r="D61" s="17" t="n">
        <v>96.84</v>
      </c>
      <c r="E61" s="17" t="n">
        <v>92.63</v>
      </c>
      <c r="F61" s="17" t="n">
        <v>75.79</v>
      </c>
      <c r="G61" s="17" t="n">
        <v>0</v>
      </c>
      <c r="H61" s="13"/>
    </row>
    <row r="62" customFormat="false" ht="22.05" hidden="false" customHeight="false" outlineLevel="0" collapsed="false">
      <c r="A62" s="5" t="s">
        <v>72</v>
      </c>
      <c r="B62" s="17" t="n">
        <v>7.09</v>
      </c>
      <c r="C62" s="17" t="n">
        <v>9.32</v>
      </c>
      <c r="D62" s="17" t="n">
        <v>9.6</v>
      </c>
      <c r="E62" s="17" t="n">
        <v>6.95</v>
      </c>
      <c r="F62" s="17" t="n">
        <v>5.57</v>
      </c>
      <c r="G62" s="17" t="n">
        <v>0</v>
      </c>
      <c r="H62" s="13"/>
    </row>
    <row r="63" customFormat="false" ht="22.05" hidden="false" customHeight="false" outlineLevel="0" collapsed="false">
      <c r="A63" s="5" t="s">
        <v>73</v>
      </c>
      <c r="B63" s="17" t="n">
        <v>1</v>
      </c>
      <c r="C63" s="17" t="n">
        <v>0.97</v>
      </c>
      <c r="D63" s="17" t="n">
        <v>0.43</v>
      </c>
      <c r="E63" s="17" t="n">
        <v>0.12</v>
      </c>
      <c r="F63" s="17" t="n">
        <v>0.88</v>
      </c>
      <c r="G63" s="17" t="n">
        <v>1E-008</v>
      </c>
      <c r="H63" s="13"/>
    </row>
    <row r="64" customFormat="false" ht="22.05" hidden="false" customHeight="false" outlineLevel="0" collapsed="false">
      <c r="B64" s="20" t="s">
        <v>47</v>
      </c>
      <c r="C64" s="20" t="s">
        <v>47</v>
      </c>
      <c r="D64" s="20" t="s">
        <v>47</v>
      </c>
      <c r="E64" s="20" t="s">
        <v>47</v>
      </c>
      <c r="F64" s="20" t="s">
        <v>47</v>
      </c>
      <c r="G64" s="20" t="s">
        <v>42</v>
      </c>
      <c r="H64" s="13"/>
    </row>
    <row r="67" customFormat="false" ht="22.05" hidden="false" customHeight="false" outlineLevel="0" collapsed="false">
      <c r="A67" s="3" t="s">
        <v>74</v>
      </c>
    </row>
    <row r="68" customFormat="false" ht="22.05" hidden="false" customHeight="false" outlineLevel="0" collapsed="false">
      <c r="B68" s="15" t="s">
        <v>20</v>
      </c>
      <c r="C68" s="15" t="s">
        <v>21</v>
      </c>
      <c r="D68" s="15" t="n">
        <v>0.5</v>
      </c>
      <c r="E68" s="15" t="n">
        <v>1.5</v>
      </c>
      <c r="F68" s="15" t="n">
        <v>7</v>
      </c>
      <c r="G68" s="15" t="n">
        <v>24</v>
      </c>
      <c r="H68" s="15"/>
    </row>
    <row r="69" customFormat="false" ht="22.05" hidden="false" customHeight="false" outlineLevel="0" collapsed="false">
      <c r="A69" s="5" t="s">
        <v>75</v>
      </c>
      <c r="B69" s="17" t="n">
        <v>100</v>
      </c>
      <c r="C69" s="17" t="n">
        <v>93.05</v>
      </c>
      <c r="D69" s="17" t="n">
        <v>91.89</v>
      </c>
      <c r="E69" s="17" t="n">
        <v>75.68</v>
      </c>
      <c r="F69" s="17" t="n">
        <v>81.63</v>
      </c>
      <c r="G69" s="17" t="n">
        <v>73.25</v>
      </c>
      <c r="H69" s="13"/>
    </row>
    <row r="70" customFormat="false" ht="22.05" hidden="false" customHeight="false" outlineLevel="0" collapsed="false">
      <c r="A70" s="5" t="s">
        <v>76</v>
      </c>
      <c r="B70" s="17" t="n">
        <v>5.32</v>
      </c>
      <c r="C70" s="17" t="n">
        <v>5.7</v>
      </c>
      <c r="D70" s="17" t="n">
        <v>8.65</v>
      </c>
      <c r="E70" s="17" t="n">
        <v>7.72</v>
      </c>
      <c r="F70" s="17" t="n">
        <v>7.64</v>
      </c>
      <c r="G70" s="17" t="n">
        <v>5.49</v>
      </c>
      <c r="H70" s="13"/>
    </row>
    <row r="71" customFormat="false" ht="22.05" hidden="false" customHeight="false" outlineLevel="0" collapsed="false">
      <c r="C71" s="13"/>
      <c r="D71" s="13"/>
      <c r="E71" s="13"/>
      <c r="F71" s="13"/>
      <c r="G71" s="13"/>
      <c r="H71" s="13"/>
    </row>
    <row r="72" customFormat="false" ht="22.05" hidden="false" customHeight="false" outlineLevel="0" collapsed="false">
      <c r="C72" s="13"/>
      <c r="D72" s="13"/>
      <c r="E72" s="13"/>
      <c r="F72" s="13"/>
      <c r="G72" s="13"/>
      <c r="H72" s="13"/>
    </row>
    <row r="73" customFormat="false" ht="22.05" hidden="false" customHeight="false" outlineLevel="0" collapsed="false">
      <c r="A73" s="5" t="s">
        <v>77</v>
      </c>
      <c r="B73" s="17" t="n">
        <v>100</v>
      </c>
      <c r="C73" s="17" t="n">
        <v>95.69</v>
      </c>
      <c r="D73" s="17" t="n">
        <v>91.87</v>
      </c>
      <c r="E73" s="17" t="n">
        <v>85.5</v>
      </c>
      <c r="F73" s="17" t="n">
        <v>69</v>
      </c>
      <c r="G73" s="17" t="n">
        <v>63.56</v>
      </c>
      <c r="H73" s="13"/>
    </row>
    <row r="74" customFormat="false" ht="22.05" hidden="false" customHeight="false" outlineLevel="0" collapsed="false">
      <c r="A74" s="5" t="s">
        <v>78</v>
      </c>
      <c r="B74" s="17" t="n">
        <v>6.11</v>
      </c>
      <c r="C74" s="17" t="n">
        <v>4.03</v>
      </c>
      <c r="D74" s="17" t="n">
        <v>4.38</v>
      </c>
      <c r="E74" s="17" t="n">
        <v>4.48</v>
      </c>
      <c r="F74" s="17" t="n">
        <v>3.74</v>
      </c>
      <c r="G74" s="17" t="n">
        <v>6.74</v>
      </c>
      <c r="H74" s="13"/>
    </row>
    <row r="75" customFormat="false" ht="22.05" hidden="false" customHeight="false" outlineLevel="0" collapsed="false">
      <c r="A75" s="5" t="s">
        <v>79</v>
      </c>
      <c r="B75" s="17" t="n">
        <v>1</v>
      </c>
      <c r="C75" s="17" t="n">
        <v>0.77</v>
      </c>
      <c r="D75" s="17" t="n">
        <v>0.99</v>
      </c>
      <c r="E75" s="17" t="n">
        <v>0.29</v>
      </c>
      <c r="F75" s="17" t="n">
        <v>0.16</v>
      </c>
      <c r="G75" s="17" t="n">
        <v>0.27</v>
      </c>
      <c r="H75" s="13"/>
    </row>
    <row r="76" customFormat="false" ht="22.05" hidden="false" customHeight="false" outlineLevel="0" collapsed="false">
      <c r="B76" s="20" t="s">
        <v>47</v>
      </c>
      <c r="C76" s="20" t="s">
        <v>47</v>
      </c>
      <c r="D76" s="20" t="s">
        <v>47</v>
      </c>
      <c r="E76" s="20" t="s">
        <v>47</v>
      </c>
      <c r="F76" s="20" t="s">
        <v>47</v>
      </c>
      <c r="G76" s="20" t="s">
        <v>47</v>
      </c>
      <c r="H76" s="13"/>
    </row>
    <row r="77" customFormat="false" ht="22.05" hidden="false" customHeight="false" outlineLevel="0" collapsed="false">
      <c r="C77" s="13"/>
      <c r="D77" s="13"/>
      <c r="E77" s="13"/>
      <c r="F77" s="13"/>
      <c r="G77" s="13"/>
      <c r="H77" s="13"/>
    </row>
    <row r="78" customFormat="false" ht="22.05" hidden="false" customHeight="false" outlineLevel="0" collapsed="false">
      <c r="A78" s="5" t="s">
        <v>63</v>
      </c>
      <c r="B78" s="17" t="n">
        <v>100</v>
      </c>
      <c r="C78" s="17" t="n">
        <v>92.8</v>
      </c>
      <c r="D78" s="17" t="n">
        <v>88.2</v>
      </c>
      <c r="E78" s="17" t="n">
        <v>78.8</v>
      </c>
      <c r="F78" s="17" t="n">
        <v>74.79</v>
      </c>
      <c r="G78" s="17" t="n">
        <v>54.43</v>
      </c>
      <c r="H78" s="13"/>
    </row>
    <row r="79" customFormat="false" ht="22.05" hidden="false" customHeight="false" outlineLevel="0" collapsed="false">
      <c r="A79" s="5" t="s">
        <v>64</v>
      </c>
      <c r="B79" s="17" t="n">
        <v>5.47</v>
      </c>
      <c r="C79" s="17" t="n">
        <v>4.54</v>
      </c>
      <c r="D79" s="17" t="n">
        <v>3.95</v>
      </c>
      <c r="E79" s="17" t="n">
        <v>4.12</v>
      </c>
      <c r="F79" s="17" t="n">
        <v>4.18</v>
      </c>
      <c r="G79" s="17" t="n">
        <v>4.39</v>
      </c>
      <c r="H79" s="13"/>
    </row>
    <row r="80" customFormat="false" ht="22.05" hidden="false" customHeight="false" outlineLevel="0" collapsed="false">
      <c r="A80" s="5" t="s">
        <v>80</v>
      </c>
      <c r="B80" s="17" t="n">
        <v>1</v>
      </c>
      <c r="C80" s="17" t="n">
        <v>0.97</v>
      </c>
      <c r="D80" s="17" t="n">
        <v>0.71</v>
      </c>
      <c r="E80" s="17" t="n">
        <v>0.72</v>
      </c>
      <c r="F80" s="17" t="n">
        <v>0.44</v>
      </c>
      <c r="G80" s="17" t="n">
        <v>0.02</v>
      </c>
      <c r="H80" s="13"/>
    </row>
    <row r="81" customFormat="false" ht="22.05" hidden="false" customHeight="false" outlineLevel="0" collapsed="false">
      <c r="B81" s="20" t="s">
        <v>47</v>
      </c>
      <c r="C81" s="20" t="s">
        <v>47</v>
      </c>
      <c r="D81" s="20" t="s">
        <v>47</v>
      </c>
      <c r="E81" s="20" t="s">
        <v>47</v>
      </c>
      <c r="F81" s="20" t="s">
        <v>47</v>
      </c>
      <c r="G81" s="20" t="s">
        <v>46</v>
      </c>
      <c r="H81" s="13"/>
    </row>
    <row r="82" customFormat="false" ht="22.05" hidden="false" customHeight="false" outlineLevel="0" collapsed="false">
      <c r="C82" s="13"/>
      <c r="D82" s="13"/>
      <c r="E82" s="13"/>
      <c r="F82" s="13"/>
      <c r="G82" s="13"/>
      <c r="H82" s="13"/>
    </row>
    <row r="83" customFormat="false" ht="22.05" hidden="false" customHeight="false" outlineLevel="0" collapsed="false">
      <c r="A83" s="5" t="s">
        <v>81</v>
      </c>
      <c r="B83" s="17" t="n">
        <v>100</v>
      </c>
      <c r="C83" s="17" t="n">
        <v>108.9</v>
      </c>
      <c r="D83" s="17" t="n">
        <v>96.2</v>
      </c>
      <c r="E83" s="17" t="n">
        <v>97.47</v>
      </c>
      <c r="F83" s="17" t="n">
        <v>89.87</v>
      </c>
      <c r="G83" s="17" t="n">
        <v>0</v>
      </c>
      <c r="H83" s="13"/>
    </row>
    <row r="84" customFormat="false" ht="22.05" hidden="false" customHeight="false" outlineLevel="0" collapsed="false">
      <c r="A84" s="5" t="s">
        <v>82</v>
      </c>
      <c r="B84" s="17" t="n">
        <v>5.52</v>
      </c>
      <c r="C84" s="17" t="n">
        <v>10.82</v>
      </c>
      <c r="D84" s="17" t="n">
        <v>14.92</v>
      </c>
      <c r="E84" s="17" t="n">
        <v>7.05</v>
      </c>
      <c r="F84" s="17" t="n">
        <v>3.35</v>
      </c>
      <c r="G84" s="17" t="n">
        <v>0</v>
      </c>
      <c r="H84" s="13"/>
    </row>
    <row r="85" customFormat="false" ht="22.05" hidden="false" customHeight="false" outlineLevel="0" collapsed="false">
      <c r="A85" s="5" t="s">
        <v>83</v>
      </c>
      <c r="B85" s="17" t="n">
        <v>1</v>
      </c>
      <c r="C85" s="17" t="n">
        <v>0.28</v>
      </c>
      <c r="D85" s="17" t="n">
        <v>0.816</v>
      </c>
      <c r="E85" s="17" t="n">
        <v>0.07</v>
      </c>
      <c r="F85" s="17" t="n">
        <v>0.34</v>
      </c>
      <c r="G85" s="17" t="n">
        <v>3.11E-006</v>
      </c>
      <c r="H85" s="13"/>
    </row>
    <row r="86" customFormat="false" ht="22.05" hidden="false" customHeight="false" outlineLevel="0" collapsed="false">
      <c r="B86" s="20" t="s">
        <v>47</v>
      </c>
      <c r="C86" s="20" t="s">
        <v>47</v>
      </c>
      <c r="D86" s="20" t="s">
        <v>47</v>
      </c>
      <c r="E86" s="20" t="s">
        <v>47</v>
      </c>
      <c r="F86" s="20" t="s">
        <v>47</v>
      </c>
      <c r="G86" s="20" t="s">
        <v>42</v>
      </c>
      <c r="H86" s="13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2631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2022-09-09T10:56:01Z</dcterms:created>
  <dc:creator/>
  <dc:description/>
  <dc:language>es-MX</dc:language>
  <cp:lastModifiedBy/>
  <dcterms:modified xsi:type="dcterms:W3CDTF">2025-11-06T18:39:28Z</dcterms:modified>
  <cp:revision>127</cp:revision>
  <dc:subject/>
  <dc:title/>
</cp:coreProperties>
</file>